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Ошибка\"/>
    </mc:Choice>
  </mc:AlternateContent>
  <xr:revisionPtr revIDLastSave="0" documentId="13_ncr:1_{2A835FD4-84FA-43EE-8E8F-23E263BB9EA1}" xr6:coauthVersionLast="36" xr6:coauthVersionMax="36" xr10:uidLastSave="{00000000-0000-0000-0000-000000000000}"/>
  <bookViews>
    <workbookView xWindow="360" yWindow="15" windowWidth="20955" windowHeight="9720" activeTab="3" xr2:uid="{00000000-000D-0000-FFFF-FFFF00000000}"/>
  </bookViews>
  <sheets>
    <sheet name="Раздел 1 (КИК)" sheetId="1" r:id="rId1"/>
    <sheet name="Раздел 2 (СКК)" sheetId="2" r:id="rId2"/>
    <sheet name="23" sheetId="3" r:id="rId3"/>
    <sheet name="ОКВ" sheetId="4" r:id="rId4"/>
  </sheets>
  <calcPr calcId="191029"/>
</workbook>
</file>

<file path=xl/calcChain.xml><?xml version="1.0" encoding="utf-8"?>
<calcChain xmlns="http://schemas.openxmlformats.org/spreadsheetml/2006/main">
  <c r="X12" i="1" l="1"/>
</calcChain>
</file>

<file path=xl/sharedStrings.xml><?xml version="1.0" encoding="utf-8"?>
<sst xmlns="http://schemas.openxmlformats.org/spreadsheetml/2006/main" count="596" uniqueCount="234">
  <si>
    <t>Раздел 1. КИК</t>
  </si>
  <si>
    <t>КЦСР=*****978**</t>
  </si>
  <si>
    <t>Наименование мероприятия</t>
  </si>
  <si>
    <t>лимит бюджета субъекта РФ</t>
  </si>
  <si>
    <t>принятые бюджетные обязательства бюджета субъекта РФ</t>
  </si>
  <si>
    <t>в том числе</t>
  </si>
  <si>
    <t>кассовые выплаты из бюджета субъекта РФ</t>
  </si>
  <si>
    <t>кассовые выплаты БУ/АУ</t>
  </si>
  <si>
    <t>лимит местных бюджетов</t>
  </si>
  <si>
    <t>принятые бюджетные обязательства местных бюджетов</t>
  </si>
  <si>
    <t>кассовые выплаты из местных бюджетов</t>
  </si>
  <si>
    <t>кассовые выплаты АУ/БУ</t>
  </si>
  <si>
    <t>всего</t>
  </si>
  <si>
    <t>договоры, контракты на закупку товаров, работ, услуг</t>
  </si>
  <si>
    <t>межбюджетные трансферты местным бюджетам</t>
  </si>
  <si>
    <t>договоры, контракты БУ/АУ на закупку товаров, работ, услуг</t>
  </si>
  <si>
    <t>субсидии бюджетным, автономным учреждениям</t>
  </si>
  <si>
    <t>итого</t>
  </si>
  <si>
    <t>Дата</t>
  </si>
  <si>
    <t>Номер</t>
  </si>
  <si>
    <t>Контрагент</t>
  </si>
  <si>
    <t>Сумма</t>
  </si>
  <si>
    <t>Получатель</t>
  </si>
  <si>
    <t>субсидии</t>
  </si>
  <si>
    <t>РЧБ_выгружен10042026.7z - Наименование КЦСР</t>
  </si>
  <si>
    <t>РЧБ_выгружен10042026.7z - Лимиты 2025 год</t>
  </si>
  <si>
    <t>РЧБ_выгружен10042026.7z - Подтв. лимитов по БО 2025 год</t>
  </si>
  <si>
    <t>Контракты и договора.csv - con_date</t>
  </si>
  <si>
    <t>Контракты и договора.csv - con_number</t>
  </si>
  <si>
    <t>Контракты и договора.csv - zakazchik_key</t>
  </si>
  <si>
    <t>Контракты и договора.csv - con_amount</t>
  </si>
  <si>
    <t>Реализация мероприятий в социальной сфере, одобренных президиумом (штабом) Правительственной комиссии по региональному развитию в Российской Федерации</t>
  </si>
  <si>
    <t>44/1</t>
  </si>
  <si>
    <t>управление культуры города</t>
  </si>
  <si>
    <t>Реализация инфраструктурных проектов (мероприятий) в сфере жилищно-коммунального хозяйства, одобренных президиумом (штабом) Правительственной комиссии по региональному развитию в Российской Федерации</t>
  </si>
  <si>
    <t>01-39-4723/1</t>
  </si>
  <si>
    <t>Администрация города Благовещенска</t>
  </si>
  <si>
    <t>0583/2025</t>
  </si>
  <si>
    <t>ОБЩЕСТВО С ОГРАНИЧЕННОЙ ОТВЕТСТВЕННОСТЬЮ "ЗАВОД МОДУЛЬНЫХ КОТЕЛЬНЫХ "ЭНЕРГИЯ"</t>
  </si>
  <si>
    <t>142 731 000.00</t>
  </si>
  <si>
    <t>Реализация инфраструктурных проектов (мероприятий) в сфере дорожной деятельности, одобренных президиумом (штабом) Правительственной комиссии по региональному развитию в Российской Федерации</t>
  </si>
  <si>
    <t>491 132 071.92</t>
  </si>
  <si>
    <t>К.2024.2173</t>
  </si>
  <si>
    <t>Акционерное общество "МОСТОСТРОЙ-11"</t>
  </si>
  <si>
    <t>866-12/С</t>
  </si>
  <si>
    <t>157 662.00</t>
  </si>
  <si>
    <t>39/2025</t>
  </si>
  <si>
    <t>ОБЩЕСТВО С ОГРАНИЧЕННОЙ ОТВЕТСТВЕННОСТЬЮ "ПРОГРЕСС-ДВ"</t>
  </si>
  <si>
    <t>Реализация инфраструктурных проектов (мероприятий) в сфере образования, одобренных президиумом (штабом) Правительственной комиссии по региональному развитию в Российской Федерации</t>
  </si>
  <si>
    <t>10/БУ/7</t>
  </si>
  <si>
    <t>ГБУ АО "Строитель"</t>
  </si>
  <si>
    <t>36 938 330.00</t>
  </si>
  <si>
    <t>общество с ограниченной ответственностью «РЕГИОН СТРОЙ»</t>
  </si>
  <si>
    <t>Раздел 2. Сведения о кассовых операциях за счет средств специальных казначейских кредитов (СКК)</t>
  </si>
  <si>
    <t>КЦСР=*****6105*</t>
  </si>
  <si>
    <t>Реализация мероприятий в сфере коммунальной инфраструктуры и благоустройства территорий, одобренных Президиумом (штабом) Правительственной комиссии по региональному развитию в Российской Федерации</t>
  </si>
  <si>
    <t xml:space="preserve"> Администрация города Благовещенска</t>
  </si>
  <si>
    <t>0520/2023</t>
  </si>
  <si>
    <t>Общество с ограниченной ответственностью ООО "Энергия-Проект"</t>
  </si>
  <si>
    <t>10 000 000.00</t>
  </si>
  <si>
    <t>Реализация мероприятий в транспортной сфере, одобренных Президиумом (штабом) Правительственной комиссии по региональному развитию в Российской Федерации</t>
  </si>
  <si>
    <t>855-02/C</t>
  </si>
  <si>
    <t>АДМИНИСТРАЦИЯ ГОРОДА ТЫНДЫ</t>
  </si>
  <si>
    <t>128 018 785.13</t>
  </si>
  <si>
    <t>ОБЩЕСТВО С ОГРАНИЧЕННОЙ ОТВЕТСТВЕННОСТЬЮ ТОРГОВО-СТРОИТЕЛЬНАЯ КОМПАНИЯ "ВОСТОК - СТРОЙМАРКЕТ"</t>
  </si>
  <si>
    <t>Реализация мероприятий в сфере культуры, одобренных президиумом (штабом) Правительственной комиссии по региональному развитию в Российской Федерации</t>
  </si>
  <si>
    <t>14/БУ/3</t>
  </si>
  <si>
    <t>Акционерное общество Закрытое акционерное общество «Проектно-инвестиционная компания»</t>
  </si>
  <si>
    <t>1 667 192.00</t>
  </si>
  <si>
    <t>Раздел 3. 2/3</t>
  </si>
  <si>
    <t>КЦСР=*****970**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</si>
  <si>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(Строительство газовой котельной 15 квартала г. Свободный)»</t>
  </si>
  <si>
    <t>282-1</t>
  </si>
  <si>
    <t>УИМИЗ администрации г.Свободного</t>
  </si>
  <si>
    <t>381 000 000.00</t>
  </si>
  <si>
    <t>17.07.2025</t>
  </si>
  <si>
    <t>муниципальное бюджетное учреждение "Управление по содержанию и обслуживанию административных зданий и сооружений города Свободного"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</si>
  <si>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(Строительство сливной станции с. Садовое)</t>
  </si>
  <si>
    <t>284-1</t>
  </si>
  <si>
    <t>0358/2025</t>
  </si>
  <si>
    <t>АКЦИОНЕРНОЕ ОБЩЕСТВО "ГИДРОЭЛЕКТРОМОНТАЖ"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</si>
  <si>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(Технологическое присоединение к сетям электроснабжения в квартале 800 г. Благовещенска (со строительством центра питания)</t>
  </si>
  <si>
    <t>289-1</t>
  </si>
  <si>
    <t>ООО "СЗ "ПИК Благовещенск"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</si>
  <si>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(Модернизация котельной "Южная", строительство теплотрассы, угольной эстакады)</t>
  </si>
  <si>
    <t>283-2</t>
  </si>
  <si>
    <t>МКУ "УПРАВЛЕНИЕ ЖКХ АДМИНИСТРАЦИИ Г.БЕЛОГОРСК"</t>
  </si>
  <si>
    <t>Ф.2025.0002</t>
  </si>
  <si>
    <t>Общество с ограниченной ответственностью «МММ-СТРОЙ»</t>
  </si>
  <si>
    <t>108 193 722.70</t>
  </si>
  <si>
    <t>Ф.2025.0003</t>
  </si>
  <si>
    <t>Общество с ограниченной ответственностью "Крепость"</t>
  </si>
  <si>
    <t>1 821 173.90</t>
  </si>
  <si>
    <t>Ф.2025.0004</t>
  </si>
  <si>
    <t>Общество с ограниченной ответственностью "ТРАНССТРОЙИЗЫСКАНИЯ"</t>
  </si>
  <si>
    <t>170 753.40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</si>
  <si>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(Строительство распределительных пунктов в целях реализации мероприятия «Инфраструктурное обеспечение новых территорий застройки г. Свободного»)</t>
  </si>
  <si>
    <t>01-39-4693/1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</si>
  <si>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(закупка автобусов)</t>
  </si>
  <si>
    <t>0123300007925000326</t>
  </si>
  <si>
    <t>Индивидуальный предприниматель УРАЗОВ ВЛАДИМИР ИЛЬИЧ</t>
  </si>
  <si>
    <t>118 776 000.00</t>
  </si>
  <si>
    <t>0123300007925000355</t>
  </si>
  <si>
    <t>57 547 766.63</t>
  </si>
  <si>
    <t>Реализация мер, финансирование которых осуществляется за счет высвобождаемых средств в результате списания задолженности по бюджетным кредитам (капитальный ремонт и реконструкция региональной автомобильной дороги "Благовещенск-Бибиково", ведущей к аэропорту "Игнатьево")</t>
  </si>
  <si>
    <t>К.2025.0383</t>
  </si>
  <si>
    <t>акционерное общество "АСФАЛЬТ"</t>
  </si>
  <si>
    <t>Раздел 4. Объекты капитальных вложений</t>
  </si>
  <si>
    <t>ДопКР не равен 0</t>
  </si>
  <si>
    <t>Наименование объекта</t>
  </si>
  <si>
    <t>Факт оплаты</t>
  </si>
  <si>
    <t>Факты поставки</t>
  </si>
  <si>
    <t>дата</t>
  </si>
  <si>
    <t>№ документа</t>
  </si>
  <si>
    <t>сумма</t>
  </si>
  <si>
    <t>РЧБ_выгружен10042026.7z - Наименование ДопКР</t>
  </si>
  <si>
    <t>Строительство детского сада на 350 мест в г. Свободный Амурской области</t>
  </si>
  <si>
    <t>60-2025-000065</t>
  </si>
  <si>
    <t>242 680 412.37</t>
  </si>
  <si>
    <t>АКЦИОНЕРНОЕ ОБЩЕСТВО "СТРОИТЕЛЬНАЯ КОМПАНИЯ №1"</t>
  </si>
  <si>
    <t>359 086 952.16</t>
  </si>
  <si>
    <t>7/БУ-2025/3</t>
  </si>
  <si>
    <t>ОБЩЕСТВО С ОГРАНИЧЕННОЙ ОТВЕТСТВЕННОСТЬЮ "ЭКСПЕРТНО-ТЕХНИЧЕСКИЙ ЦЕНТР "ПРОЕКТСТРОЙИНВЕСТ"</t>
  </si>
  <si>
    <t>474 202.84</t>
  </si>
  <si>
    <t>Реконструкция здания МДОАУ д/с № 5 г. Свободного, с пристройкой пищеблока по адресу: Амурская область, г. Свободный, ул. К. Маркса, 13</t>
  </si>
  <si>
    <t>60-2025-000066</t>
  </si>
  <si>
    <t>54 226 804.12</t>
  </si>
  <si>
    <t>195</t>
  </si>
  <si>
    <t>ОБЩЕСТВО С ОГРАНИЧЕННОЙ ОТВЕТСТВЕННОСТЬЮ "КРОЛ"</t>
  </si>
  <si>
    <t>61 486 439.57</t>
  </si>
  <si>
    <t>1930</t>
  </si>
  <si>
    <t>1931</t>
  </si>
  <si>
    <t>1932</t>
  </si>
  <si>
    <t>1934</t>
  </si>
  <si>
    <t>2102</t>
  </si>
  <si>
    <t>2103</t>
  </si>
  <si>
    <t>2104</t>
  </si>
  <si>
    <t>2197</t>
  </si>
  <si>
    <t>2198</t>
  </si>
  <si>
    <t>8/БУ-2025/4</t>
  </si>
  <si>
    <t>234</t>
  </si>
  <si>
    <t>ОБЩЕСТВО С ОГРАНИЧЕННОЙ ОТВЕТСТВЕННОСТЬЮ "ЭКСПЕРТСТРОЙ"</t>
  </si>
  <si>
    <t>26 312.50</t>
  </si>
  <si>
    <t>Реконструкция здания МАОУ СШ № 17 в г. Белогорск Амурской области в части строительства пристройки на 250 учащихся</t>
  </si>
  <si>
    <t>025-000058</t>
  </si>
  <si>
    <t>103 092 783.51</t>
  </si>
  <si>
    <t>162 426 621.54</t>
  </si>
  <si>
    <t>(Общество с ограниченной ответственностью «СК УРУССТРОЙ»</t>
  </si>
  <si>
    <t>6/БУ-2025/5</t>
  </si>
  <si>
    <t>2210</t>
  </si>
  <si>
    <t>Строительство сооружений инженерной защиты от паводковых вод с. Усть-Ивановка, с. Владимировка, с. Гродеково Благовещенского района. Этап 2. Строительство сооружений инженерной защиты от паводковых вод с. Владимировка Благовещенского района</t>
  </si>
  <si>
    <t>60-2025-000020/2</t>
  </si>
  <si>
    <t>1 789 858 641.99</t>
  </si>
  <si>
    <t>1 789 858 759.31</t>
  </si>
  <si>
    <t>Акционерное общество "Бамтоннельстрой-Мост"</t>
  </si>
  <si>
    <t>25.02.2025</t>
  </si>
  <si>
    <t>185</t>
  </si>
  <si>
    <t>186</t>
  </si>
  <si>
    <t>14.04.2025</t>
  </si>
  <si>
    <t>544</t>
  </si>
  <si>
    <t>15.10.2025</t>
  </si>
  <si>
    <t>1629</t>
  </si>
  <si>
    <t>20.10.2025</t>
  </si>
  <si>
    <t>1649</t>
  </si>
  <si>
    <t>30.10.2025</t>
  </si>
  <si>
    <t>1707</t>
  </si>
  <si>
    <t>01.11.2025</t>
  </si>
  <si>
    <t>1747</t>
  </si>
  <si>
    <t>11.11.2025</t>
  </si>
  <si>
    <t>1782</t>
  </si>
  <si>
    <t>12.11.2025</t>
  </si>
  <si>
    <t>1789</t>
  </si>
  <si>
    <t>01.12.2025</t>
  </si>
  <si>
    <t>1911</t>
  </si>
  <si>
    <t>08.12.2025</t>
  </si>
  <si>
    <t>1981</t>
  </si>
  <si>
    <t>1983</t>
  </si>
  <si>
    <t>38/БУ/6</t>
  </si>
  <si>
    <t>Федеральное бюджетное учреждение "Федеральный центр строительного контроля"</t>
  </si>
  <si>
    <t>16 817 338.45</t>
  </si>
  <si>
    <t>04.03.2025</t>
  </si>
  <si>
    <t>273</t>
  </si>
  <si>
    <t>05.03.2025</t>
  </si>
  <si>
    <t>281</t>
  </si>
  <si>
    <t>08.04.2025</t>
  </si>
  <si>
    <t>513</t>
  </si>
  <si>
    <t>13.05.2025</t>
  </si>
  <si>
    <t>762</t>
  </si>
  <si>
    <t>06.06.2025</t>
  </si>
  <si>
    <t>893</t>
  </si>
  <si>
    <t>11.07.2025</t>
  </si>
  <si>
    <t>1087</t>
  </si>
  <si>
    <t>06.10.2025</t>
  </si>
  <si>
    <t>1540</t>
  </si>
  <si>
    <t>1541</t>
  </si>
  <si>
    <t>1542</t>
  </si>
  <si>
    <t>19.11.2025</t>
  </si>
  <si>
    <t>1807</t>
  </si>
  <si>
    <t>03.12.2025</t>
  </si>
  <si>
    <t>1936</t>
  </si>
  <si>
    <t>25.06.2025</t>
  </si>
  <si>
    <t>968</t>
  </si>
  <si>
    <t>Строительство Амурской областной станции переливания крови, г.Благовещенск</t>
  </si>
  <si>
    <t>Строительство поликлиники на 500 посещений в смену "Благовещенская центральная районная поликлиника", с. Чигири</t>
  </si>
  <si>
    <t>Врачебная амбулатория, Государственное бюджетное учреждение Амурской области "Сковородинская центральная районная больница"</t>
  </si>
  <si>
    <t>Врачебная амбулатория, Государственное автономное учреждение здравоохранения Амурской области "Ивановская больница"</t>
  </si>
  <si>
    <t>Строительство здания родильного дома на 150 коек ГАУЗ АО "Благовещенская городская клиническая больница"</t>
  </si>
  <si>
    <t>РЧБ_выгружен10042026.7z - Всего выбытий (бух.уч.)</t>
  </si>
  <si>
    <t>РЧБ_выгружен10042026.7z - Всего выбытий (бух.уч.) по КВР 2**</t>
  </si>
  <si>
    <t>РЧБ_выгружен10042026.7z - Всего выбытий (бух.уч.) по КВР 6**</t>
  </si>
  <si>
    <t>РЧБ_выгружен10042026.7z - Всего выбытий (бух.уч.) по КВР 5**</t>
  </si>
  <si>
    <t>РЧБ_выгружен10042026.7z - Всего выбытий (бух.уч.) по бюджетам МО</t>
  </si>
  <si>
    <t>РЧБ_выгружен10042026.7z - Всего выбытий (бух.уч.) по КВР 2** и по бюджетам МО</t>
  </si>
  <si>
    <t>РЧБ_выгружен10042026.7z - Всего выбытий (бух.уч.) по КВР 6** и по бюджетам МО</t>
  </si>
  <si>
    <t>РЧБ_выгружен10042026.7z - Лимиты 2025 год по бюджетам МО</t>
  </si>
  <si>
    <t>РЧБ_выгружен10042026.7z - Подтв. лимитов по БО 2025 год по бюджетам МО</t>
  </si>
  <si>
    <t>выгрузка БУАУ.7z - Выплаты с учетом возврата (бюджет субъекта)</t>
  </si>
  <si>
    <t>выгрузка БУАУ.7z - Выплаты с учетом возврата (бюджеты МО)</t>
  </si>
  <si>
    <t>6. Close_date – дата заключения соглашения</t>
  </si>
  <si>
    <t>7. Reg_number – регистрационный номер соглашения</t>
  </si>
  <si>
    <t>12. Dd_recepient_caption – наименование получателя денег по соглашению</t>
  </si>
  <si>
    <t>10. Amount_1year – сумма соглашения на 1-ый год</t>
  </si>
  <si>
    <r>
      <t xml:space="preserve">межбюджетные трансферты местным бюджетам
</t>
    </r>
    <r>
      <rPr>
        <sz val="12"/>
        <color rgb="FFFF0000"/>
        <rFont val="Times New Roman"/>
        <family val="1"/>
        <charset val="204"/>
      </rPr>
      <t>2. Documentclass_id – класс ЭД: 
d. 273 - PL_MBT_GRANT – соглашения по МБТ;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FF0000"/>
        <rFont val="Times New Roman"/>
        <family val="1"/>
        <charset val="204"/>
      </rPr>
      <t>3. Budget_id –  сделать выборку по id бюджета области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FF0000"/>
        <rFont val="Times New Roman"/>
        <family val="1"/>
        <charset val="204"/>
      </rPr>
      <t>15. Kcsr_code – сделать выборку по substring(trLines.kcsr_code from 6 for 3) = '978'</t>
    </r>
  </si>
  <si>
    <r>
      <t xml:space="preserve">субсидии бюджетным, автономным учреждениям (ЮЛ, ИП, ФЛ)
</t>
    </r>
    <r>
      <rPr>
        <sz val="12"/>
        <color rgb="FFFF0000"/>
        <rFont val="Times New Roman"/>
        <family val="1"/>
        <charset val="204"/>
      </rPr>
      <t>2. Documentclass_id – класс ЭД: 
a. 313 - PL_LEGAL_GRANT – соглашения по юридическим лицам;
b. 278 - PL_OTHER_GRANT - соглашения по иным целям БУ/АУ;
c. 272 - PL_STATETASK_GRANT – соглашения по государственным (муниципальным) заданиям;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FF0000"/>
        <rFont val="Times New Roman"/>
        <family val="1"/>
        <charset val="204"/>
      </rPr>
      <t>3. Budget_id –  сделать выборку по id бюджета области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FF0000"/>
        <rFont val="Times New Roman"/>
        <family val="1"/>
        <charset val="204"/>
      </rPr>
      <t>15. Kcsr_code – сделать выборку по substring(trLines.kcsr_code from 6 for 3) = '978'</t>
    </r>
  </si>
  <si>
    <r>
      <t xml:space="preserve">субсидии
</t>
    </r>
    <r>
      <rPr>
        <sz val="12"/>
        <color rgb="FFFF0000"/>
        <rFont val="Times New Roman"/>
        <family val="1"/>
        <charset val="204"/>
      </rPr>
      <t>2. Documentclass_id – класс ЭД: 
a. 313 - PL_LEGAL_GRANT – соглашения по юридическим лицам;
b. 278 - PL_OTHER_GRANT - соглашения по иным целям БУ/АУ;
c. 272 - PL_STATETASK_GRANT – соглашения по государственным (муниципальным) заданиям;
3. Budget_id –  сделать выборку по id бюджета муниципальных образований
15. Kcsr_code – сделать выборку по substring(trLines.kcsr_code from 6 for 3) = '978'</t>
    </r>
  </si>
  <si>
    <r>
      <t xml:space="preserve">межбюджетные трансферты местным бюджетам
</t>
    </r>
    <r>
      <rPr>
        <sz val="12"/>
        <color rgb="FFFF0000"/>
        <rFont val="Times New Roman"/>
        <family val="1"/>
        <charset val="204"/>
      </rPr>
      <t>2. Documentclass_id – класс ЭД: 
d. 273 - PL_MBT_GRANT – соглашения по МБТ;
3. Budget_id –  сделать выборку по id бюджета области
15. Kcsr_code – сделать выборку по substring(trLines.kcsr_code from 6 for 4) = '6105'</t>
    </r>
  </si>
  <si>
    <r>
      <t xml:space="preserve">субсидии бюджетным, автономным учреждениям (ЮЛ, ИП, ФЛ)
</t>
    </r>
    <r>
      <rPr>
        <sz val="12"/>
        <color rgb="FFFF0000"/>
        <rFont val="Times New Roman"/>
        <family val="1"/>
        <charset val="204"/>
      </rPr>
      <t>2. Documentclass_id – класс ЭД: 
a. 313 - PL_LEGAL_GRANT – соглашения по юридическим лицам;
b. 278 - PL_OTHER_GRANT - соглашения по иным целям БУ/АУ;
c. 272 - PL_STATETASK_GRANT – соглашения по государственным (муниципальным) заданиям;
3. Budget_id –  сделать выборку по id бюджета области
15. Kcsr_code – сделать выборку по substring(trLines.kcsr_code from 6 for 4) = '6105'</t>
    </r>
  </si>
  <si>
    <r>
      <t xml:space="preserve">субсидии бюджетным, автономным учреждениям (ЮЛ, ИП, ФЛ)
</t>
    </r>
    <r>
      <rPr>
        <sz val="12"/>
        <color rgb="FFFF0000"/>
        <rFont val="Times New Roman"/>
        <family val="1"/>
        <charset val="204"/>
      </rPr>
      <t>2. Documentclass_id – класс ЭД: 
a. 313 - PL_LEGAL_GRANT – соглашения по юридическим лицам;
b. 278 - PL_OTHER_GRANT - соглашения по иным целям БУ/АУ;
c. 272 - PL_STATETASK_GRANT – соглашения по государственным (муниципальным) заданиям;
3. Budget_id –  сделать выборку по id бюджета муниципальных образований
15. Kcsr_code – сделать выборку по substring(trLines.kcsr_code from 6 for 4) = '6105'</t>
    </r>
  </si>
  <si>
    <r>
      <t xml:space="preserve">межбюджетные трансферты местным бюджетам
</t>
    </r>
    <r>
      <rPr>
        <sz val="12"/>
        <color rgb="FFFF0000"/>
        <rFont val="Times New Roman"/>
        <family val="1"/>
        <charset val="204"/>
      </rPr>
      <t>2. Documentclass_id – класс ЭД: 
d. 273 - PL_MBT_GRANT – соглашения по МБТ;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FF0000"/>
        <rFont val="Times New Roman"/>
        <family val="1"/>
        <charset val="204"/>
      </rPr>
      <t>3. Budget_id –  сделать выборку по id бюджета области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FF0000"/>
        <rFont val="Times New Roman"/>
        <family val="1"/>
        <charset val="204"/>
      </rPr>
      <t>15. Kcsr_code – сделать выборку по substring(trLines.kcsr_code from 6 for 3) = '970'</t>
    </r>
  </si>
  <si>
    <r>
      <t xml:space="preserve">субсидии бюджетным, автономным учреждениям (ЮЛ, ИП, ФЛ)
</t>
    </r>
    <r>
      <rPr>
        <sz val="12"/>
        <color rgb="FFFF0000"/>
        <rFont val="Times New Roman"/>
        <family val="1"/>
        <charset val="204"/>
      </rPr>
      <t>2. Documentclass_id – класс ЭД: 
a. 313 - PL_LEGAL_GRANT – соглашения по юридическим лицам;
b. 278 - PL_OTHER_GRANT - соглашения по иным целям БУ/АУ;
c. 272 - PL_STATETASK_GRANT – соглашения по государственным (муниципальным) заданиям;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FF0000"/>
        <rFont val="Times New Roman"/>
        <family val="1"/>
        <charset val="204"/>
      </rPr>
      <t>3. Budget_id –  сделать выборку по id бюджета области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FF0000"/>
        <rFont val="Times New Roman"/>
        <family val="1"/>
        <charset val="204"/>
      </rPr>
      <t>15. Kcsr_code – сделать выборку по substring(trLines.kcsr_code from 6 for 3) = '970'</t>
    </r>
  </si>
  <si>
    <r>
      <t xml:space="preserve">межбюджетные трансферты местным бюджетам
</t>
    </r>
    <r>
      <rPr>
        <sz val="12"/>
        <color rgb="FFFF0000"/>
        <rFont val="Times New Roman"/>
        <family val="1"/>
        <charset val="204"/>
      </rPr>
      <t>2. Documentclass_id – класс ЭД: 
d. 273 - PL_MBT_GRANT – соглашения по МБТ;
3. Budget_id –  сделать выборку по id бюджета области
15. Kvr_code – сделать выборку по trLines.kvr_code in ('464', '460', '461', '462', '463', '465', '466', '400', '406', '407', '408')</t>
    </r>
  </si>
  <si>
    <r>
      <t xml:space="preserve">субсидии бюджетным, автономным учреждениям (ЮЛ, ИП, ФЛ)
</t>
    </r>
    <r>
      <rPr>
        <sz val="12"/>
        <color rgb="FFFF0000"/>
        <rFont val="Times New Roman"/>
        <family val="1"/>
        <charset val="204"/>
      </rPr>
      <t>2. Documentclass_id – класс ЭД: 
a. 313 - PL_LEGAL_GRANT – соглашения по юридическим лицам;
b. 278 - PL_OTHER_GRANT - соглашения по иным целям БУ/АУ;
c. 272 - PL_STATETASK_GRANT – соглашения по государственным (муниципальным) заданиям;
3. Budget_id –  сделать выборку по id бюджета области
15. Kvr_code – сделать выборку по trLines.kvr_code in ('464', '460', '461', '462', '463', '465', '466', '400', '406', '407', '408')</t>
    </r>
  </si>
  <si>
    <r>
      <t xml:space="preserve">субсидии бюджетным, автономным учреждениям (ЮЛ, ИП, ФЛ)
</t>
    </r>
    <r>
      <rPr>
        <sz val="12"/>
        <color rgb="FFFF0000"/>
        <rFont val="Times New Roman"/>
        <family val="1"/>
        <charset val="204"/>
      </rPr>
      <t>2. Documentclass_id – класс ЭД: 
a. 313 - PL_LEGAL_GRANT – соглашения по юридическим лицам;
b. 278 - PL_OTHER_GRANT - соглашения по иным целям БУ/АУ;
c. 272 - PL_STATETASK_GRANT – соглашения по государственным (муниципальным) заданиям;
3. Budget_id –  сделать выборку по id бюджета муниципальных образований
15. Kcsr_code – сделать выборку по substring(trLines.kcsr_code from 6 for 3) = '970'</t>
    </r>
  </si>
  <si>
    <r>
      <t xml:space="preserve">субсидии бюджетным, автономным учреждениям (ЮЛ, ИП, ФЛ)
</t>
    </r>
    <r>
      <rPr>
        <sz val="12"/>
        <color rgb="FFFF0000"/>
        <rFont val="Times New Roman"/>
        <family val="1"/>
        <charset val="204"/>
      </rPr>
      <t>2. Documentclass_id – класс ЭД: 
a. 313 - PL_LEGAL_GRANT – соглашения по юридическим лицам;
b. 278 - PL_OTHER_GRANT - соглашения по иным целям БУ/АУ;
c. 272 - PL_STATETASK_GRANT – соглашения по государственным (муниципальным) заданиям;
3. Budget_id – сделать выборку по id бюджета муниципальных образований
15. Kvr_code – сделать выборку по trLines.kvr_code in ('464', '460', '461', '462', '463', '465', '466', '400', '406', '407', '408')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</si>
</sst>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scheme val="minor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4"/>
      <color indexed="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 Cyr"/>
    </font>
    <font>
      <b/>
      <sz val="8"/>
      <color theme="1"/>
      <name val="Times New Roman"/>
      <family val="1"/>
      <charset val="204"/>
    </font>
    <font>
      <b/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i/>
      <sz val="8"/>
      <color theme="1"/>
      <name val="Calibri"/>
      <family val="2"/>
      <charset val="204"/>
      <scheme val="minor"/>
    </font>
    <font>
      <b/>
      <i/>
      <sz val="12"/>
      <color theme="1"/>
      <name val="Times New Roman"/>
      <family val="1"/>
      <charset val="204"/>
    </font>
    <font>
      <b/>
      <i/>
      <sz val="12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8"/>
      <color theme="1"/>
      <name val="Tahoma"/>
      <family val="2"/>
      <charset val="204"/>
    </font>
    <font>
      <sz val="8"/>
      <name val="Tahoma"/>
      <family val="2"/>
      <charset val="204"/>
    </font>
    <font>
      <sz val="8.5"/>
      <name val="Tahoma"/>
      <family val="2"/>
      <charset val="204"/>
    </font>
    <font>
      <sz val="8"/>
      <name val="Times New Roman"/>
      <family val="1"/>
      <charset val="204"/>
    </font>
    <font>
      <sz val="8"/>
      <name val="MS Sans Serif"/>
    </font>
    <font>
      <sz val="8.5"/>
      <name val="MS Sans Serif"/>
    </font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8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 style="thin">
        <color rgb="FFEDEDED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7" fillId="0" borderId="0"/>
  </cellStyleXfs>
  <cellXfs count="38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/>
    <xf numFmtId="0" fontId="6" fillId="2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 wrapText="1"/>
    </xf>
    <xf numFmtId="4" fontId="10" fillId="0" borderId="12" xfId="0" applyNumberFormat="1" applyFont="1" applyBorder="1" applyAlignment="1">
      <alignment horizontal="right" vertical="center" wrapText="1"/>
    </xf>
    <xf numFmtId="4" fontId="11" fillId="0" borderId="12" xfId="0" applyNumberFormat="1" applyFont="1" applyBorder="1" applyAlignment="1">
      <alignment horizontal="center" vertical="center" wrapText="1"/>
    </xf>
    <xf numFmtId="0" fontId="12" fillId="0" borderId="12" xfId="0" applyFont="1" applyBorder="1" applyAlignment="1" applyProtection="1">
      <alignment vertical="center"/>
      <protection locked="0"/>
    </xf>
    <xf numFmtId="14" fontId="10" fillId="0" borderId="12" xfId="0" applyNumberFormat="1" applyFont="1" applyBorder="1" applyAlignment="1">
      <alignment horizontal="right" vertical="center" wrapText="1"/>
    </xf>
    <xf numFmtId="4" fontId="11" fillId="0" borderId="0" xfId="0" applyNumberFormat="1" applyFont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4" fontId="13" fillId="0" borderId="12" xfId="0" applyNumberFormat="1" applyFont="1" applyBorder="1" applyAlignment="1">
      <alignment horizontal="center" vertical="center" wrapText="1"/>
    </xf>
    <xf numFmtId="4" fontId="10" fillId="0" borderId="20" xfId="0" applyNumberFormat="1" applyFont="1" applyBorder="1" applyAlignment="1">
      <alignment horizontal="right" vertical="center" wrapText="1"/>
    </xf>
    <xf numFmtId="4" fontId="13" fillId="3" borderId="0" xfId="0" applyNumberFormat="1" applyFont="1" applyFill="1" applyAlignment="1">
      <alignment horizontal="center" vertical="center" wrapText="1"/>
    </xf>
    <xf numFmtId="4" fontId="13" fillId="3" borderId="2" xfId="0" applyNumberFormat="1" applyFont="1" applyFill="1" applyBorder="1" applyAlignment="1">
      <alignment horizontal="center" vertical="center" wrapText="1"/>
    </xf>
    <xf numFmtId="4" fontId="10" fillId="0" borderId="0" xfId="0" applyNumberFormat="1" applyFont="1" applyAlignment="1">
      <alignment horizontal="right" vertical="center" wrapText="1"/>
    </xf>
    <xf numFmtId="4" fontId="10" fillId="0" borderId="21" xfId="0" applyNumberFormat="1" applyFont="1" applyBorder="1" applyAlignment="1">
      <alignment horizontal="right" vertical="center" wrapText="1"/>
    </xf>
    <xf numFmtId="14" fontId="10" fillId="0" borderId="0" xfId="0" applyNumberFormat="1" applyFont="1" applyAlignment="1">
      <alignment horizontal="right" vertical="center" wrapText="1"/>
    </xf>
    <xf numFmtId="4" fontId="10" fillId="0" borderId="1" xfId="0" applyNumberFormat="1" applyFont="1" applyBorder="1" applyAlignment="1">
      <alignment horizontal="right" vertical="center" wrapText="1"/>
    </xf>
    <xf numFmtId="4" fontId="10" fillId="0" borderId="2" xfId="0" applyNumberFormat="1" applyFont="1" applyBorder="1" applyAlignment="1">
      <alignment horizontal="right" vertical="center" wrapText="1"/>
    </xf>
    <xf numFmtId="4" fontId="13" fillId="3" borderId="4" xfId="0" applyNumberFormat="1" applyFont="1" applyFill="1" applyBorder="1" applyAlignment="1">
      <alignment horizontal="center" vertical="center" wrapText="1"/>
    </xf>
    <xf numFmtId="4" fontId="13" fillId="3" borderId="12" xfId="0" applyNumberFormat="1" applyFont="1" applyFill="1" applyBorder="1" applyAlignment="1">
      <alignment horizontal="center" vertical="center" wrapText="1"/>
    </xf>
    <xf numFmtId="0" fontId="14" fillId="0" borderId="4" xfId="0" applyFont="1" applyBorder="1" applyProtection="1">
      <protection locked="0"/>
    </xf>
    <xf numFmtId="0" fontId="14" fillId="0" borderId="0" xfId="0" applyFont="1" applyProtection="1">
      <protection locked="0"/>
    </xf>
    <xf numFmtId="0" fontId="15" fillId="0" borderId="12" xfId="0" applyFont="1" applyBorder="1" applyAlignment="1">
      <alignment horizontal="center" vertical="center" wrapText="1"/>
    </xf>
    <xf numFmtId="4" fontId="16" fillId="0" borderId="12" xfId="0" applyNumberFormat="1" applyFont="1" applyBorder="1" applyAlignment="1">
      <alignment horizontal="center" vertical="center" wrapText="1"/>
    </xf>
    <xf numFmtId="0" fontId="17" fillId="0" borderId="12" xfId="0" applyFont="1" applyBorder="1" applyAlignment="1">
      <alignment vertical="center"/>
    </xf>
    <xf numFmtId="4" fontId="16" fillId="0" borderId="0" xfId="0" applyNumberFormat="1" applyFont="1" applyAlignment="1">
      <alignment horizontal="center" vertical="center" wrapText="1"/>
    </xf>
    <xf numFmtId="4" fontId="18" fillId="0" borderId="12" xfId="0" applyNumberFormat="1" applyFont="1" applyBorder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 wrapText="1"/>
    </xf>
    <xf numFmtId="4" fontId="18" fillId="0" borderId="2" xfId="0" applyNumberFormat="1" applyFont="1" applyBorder="1" applyAlignment="1">
      <alignment horizontal="center" vertical="center" wrapText="1"/>
    </xf>
    <xf numFmtId="4" fontId="18" fillId="3" borderId="7" xfId="0" applyNumberFormat="1" applyFont="1" applyFill="1" applyBorder="1" applyAlignment="1">
      <alignment horizontal="center" vertical="center" wrapText="1"/>
    </xf>
    <xf numFmtId="4" fontId="18" fillId="3" borderId="0" xfId="0" applyNumberFormat="1" applyFont="1" applyFill="1" applyAlignment="1">
      <alignment horizontal="center" vertical="center" wrapText="1"/>
    </xf>
    <xf numFmtId="4" fontId="10" fillId="0" borderId="4" xfId="0" applyNumberFormat="1" applyFont="1" applyBorder="1" applyAlignment="1">
      <alignment horizontal="right" vertical="center" wrapText="1"/>
    </xf>
    <xf numFmtId="4" fontId="10" fillId="0" borderId="22" xfId="0" applyNumberFormat="1" applyFont="1" applyBorder="1" applyAlignment="1">
      <alignment horizontal="right" vertical="center" wrapText="1"/>
    </xf>
    <xf numFmtId="4" fontId="10" fillId="0" borderId="23" xfId="0" applyNumberFormat="1" applyFont="1" applyBorder="1" applyAlignment="1">
      <alignment horizontal="right" vertical="center" wrapText="1"/>
    </xf>
    <xf numFmtId="1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4" fontId="8" fillId="3" borderId="0" xfId="0" applyNumberFormat="1" applyFont="1" applyFill="1" applyAlignment="1">
      <alignment horizontal="center" vertical="center" wrapText="1"/>
    </xf>
    <xf numFmtId="4" fontId="10" fillId="0" borderId="18" xfId="0" applyNumberFormat="1" applyFont="1" applyBorder="1" applyAlignment="1">
      <alignment horizontal="right" vertical="center" wrapText="1"/>
    </xf>
    <xf numFmtId="49" fontId="10" fillId="0" borderId="12" xfId="0" applyNumberFormat="1" applyFont="1" applyBorder="1" applyAlignment="1">
      <alignment horizontal="right" vertical="center" wrapText="1"/>
    </xf>
    <xf numFmtId="4" fontId="8" fillId="3" borderId="12" xfId="0" applyNumberFormat="1" applyFont="1" applyFill="1" applyBorder="1" applyAlignment="1">
      <alignment horizontal="right" vertical="center" wrapText="1"/>
    </xf>
    <xf numFmtId="0" fontId="19" fillId="0" borderId="0" xfId="0" applyFont="1"/>
    <xf numFmtId="4" fontId="8" fillId="0" borderId="12" xfId="0" applyNumberFormat="1" applyFont="1" applyBorder="1" applyAlignment="1">
      <alignment horizontal="right" vertical="center" wrapText="1"/>
    </xf>
    <xf numFmtId="14" fontId="2" fillId="0" borderId="12" xfId="0" applyNumberFormat="1" applyFont="1" applyBorder="1" applyAlignment="1">
      <alignment vertical="center"/>
    </xf>
    <xf numFmtId="0" fontId="2" fillId="0" borderId="12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 wrapText="1"/>
    </xf>
    <xf numFmtId="14" fontId="8" fillId="0" borderId="12" xfId="0" applyNumberFormat="1" applyFont="1" applyBorder="1" applyAlignment="1">
      <alignment horizontal="right" vertical="center" wrapText="1"/>
    </xf>
    <xf numFmtId="4" fontId="8" fillId="0" borderId="12" xfId="0" applyNumberFormat="1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3" fontId="8" fillId="0" borderId="12" xfId="0" applyNumberFormat="1" applyFont="1" applyBorder="1" applyAlignment="1">
      <alignment horizontal="center" vertical="center" wrapText="1"/>
    </xf>
    <xf numFmtId="14" fontId="8" fillId="0" borderId="12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" fontId="10" fillId="0" borderId="24" xfId="0" applyNumberFormat="1" applyFont="1" applyBorder="1" applyAlignment="1">
      <alignment horizontal="right" vertical="center" wrapText="1"/>
    </xf>
    <xf numFmtId="4" fontId="10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 applyProtection="1">
      <alignment horizontal="center" vertical="center" wrapText="1"/>
      <protection locked="0"/>
    </xf>
    <xf numFmtId="4" fontId="10" fillId="4" borderId="12" xfId="0" applyNumberFormat="1" applyFont="1" applyFill="1" applyBorder="1" applyAlignment="1">
      <alignment horizontal="right" vertical="center" wrapText="1"/>
    </xf>
    <xf numFmtId="4" fontId="8" fillId="4" borderId="12" xfId="0" applyNumberFormat="1" applyFont="1" applyFill="1" applyBorder="1" applyAlignment="1" applyProtection="1">
      <alignment horizontal="center" vertical="center" wrapText="1"/>
      <protection locked="0"/>
    </xf>
    <xf numFmtId="14" fontId="8" fillId="4" borderId="12" xfId="0" applyNumberFormat="1" applyFont="1" applyFill="1" applyBorder="1" applyAlignment="1" applyProtection="1">
      <alignment horizontal="center" vertical="center" wrapText="1"/>
      <protection locked="0"/>
    </xf>
    <xf numFmtId="4" fontId="7" fillId="4" borderId="12" xfId="0" applyNumberFormat="1" applyFont="1" applyFill="1" applyBorder="1" applyAlignment="1" applyProtection="1">
      <alignment horizontal="center" vertical="center" wrapText="1"/>
      <protection locked="0"/>
    </xf>
    <xf numFmtId="4" fontId="15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0" applyFont="1" applyFill="1" applyBorder="1"/>
    <xf numFmtId="0" fontId="15" fillId="0" borderId="12" xfId="0" applyFont="1" applyBorder="1" applyAlignment="1">
      <alignment horizontal="center" wrapText="1"/>
    </xf>
    <xf numFmtId="0" fontId="2" fillId="0" borderId="12" xfId="0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4" fontId="20" fillId="0" borderId="20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Protection="1">
      <protection locked="0"/>
    </xf>
    <xf numFmtId="0" fontId="0" fillId="0" borderId="0" xfId="0"/>
    <xf numFmtId="0" fontId="4" fillId="0" borderId="0" xfId="0" applyFont="1" applyAlignment="1">
      <alignment horizontal="left" vertical="center"/>
    </xf>
    <xf numFmtId="0" fontId="6" fillId="2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7" fillId="0" borderId="12" xfId="0" applyFont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/>
    </xf>
    <xf numFmtId="0" fontId="14" fillId="0" borderId="0" xfId="0" applyFont="1" applyProtection="1">
      <protection locked="0"/>
    </xf>
    <xf numFmtId="49" fontId="9" fillId="0" borderId="12" xfId="0" applyNumberFormat="1" applyFont="1" applyBorder="1" applyAlignment="1" applyProtection="1">
      <alignment horizontal="center" vertical="center" wrapText="1"/>
    </xf>
    <xf numFmtId="4" fontId="10" fillId="0" borderId="12" xfId="0" applyNumberFormat="1" applyFont="1" applyBorder="1" applyAlignment="1" applyProtection="1">
      <alignment horizontal="right" vertical="center" wrapText="1"/>
    </xf>
    <xf numFmtId="4" fontId="13" fillId="0" borderId="12" xfId="0" applyNumberFormat="1" applyFont="1" applyBorder="1" applyAlignment="1" applyProtection="1">
      <alignment horizontal="center" vertical="center" wrapText="1"/>
    </xf>
    <xf numFmtId="0" fontId="14" fillId="0" borderId="12" xfId="0" applyFont="1" applyBorder="1" applyProtection="1">
      <protection locked="0"/>
    </xf>
    <xf numFmtId="14" fontId="10" fillId="0" borderId="12" xfId="0" applyNumberFormat="1" applyFont="1" applyBorder="1" applyAlignment="1" applyProtection="1">
      <alignment horizontal="right" vertical="center" wrapText="1"/>
    </xf>
    <xf numFmtId="49" fontId="10" fillId="0" borderId="26" xfId="0" applyNumberFormat="1" applyFont="1" applyBorder="1" applyAlignment="1" applyProtection="1">
      <alignment horizontal="right" vertical="center" wrapText="1"/>
    </xf>
    <xf numFmtId="4" fontId="10" fillId="0" borderId="20" xfId="0" applyNumberFormat="1" applyFont="1" applyBorder="1" applyAlignment="1" applyProtection="1">
      <alignment horizontal="right" vertical="center" wrapText="1"/>
    </xf>
    <xf numFmtId="4" fontId="10" fillId="0" borderId="27" xfId="0" applyNumberFormat="1" applyFont="1" applyBorder="1" applyAlignment="1" applyProtection="1">
      <alignment horizontal="right" vertical="center" wrapText="1"/>
    </xf>
    <xf numFmtId="4" fontId="13" fillId="3" borderId="12" xfId="0" applyNumberFormat="1" applyFont="1" applyFill="1" applyBorder="1" applyAlignment="1" applyProtection="1">
      <alignment horizontal="center" vertical="center" wrapText="1"/>
    </xf>
    <xf numFmtId="4" fontId="8" fillId="3" borderId="12" xfId="0" applyNumberFormat="1" applyFont="1" applyFill="1" applyBorder="1" applyAlignment="1" applyProtection="1">
      <alignment horizontal="right" vertical="center" wrapText="1"/>
    </xf>
    <xf numFmtId="4" fontId="10" fillId="0" borderId="28" xfId="0" applyNumberFormat="1" applyFont="1" applyBorder="1" applyAlignment="1" applyProtection="1">
      <alignment horizontal="right" vertical="center" wrapText="1"/>
    </xf>
    <xf numFmtId="0" fontId="15" fillId="0" borderId="12" xfId="0" applyFont="1" applyBorder="1" applyAlignment="1" applyProtection="1">
      <alignment horizontal="center" vertical="center" wrapText="1"/>
    </xf>
    <xf numFmtId="4" fontId="18" fillId="0" borderId="12" xfId="0" applyNumberFormat="1" applyFont="1" applyBorder="1" applyAlignment="1" applyProtection="1">
      <alignment horizontal="center" vertical="center" wrapText="1"/>
    </xf>
    <xf numFmtId="0" fontId="19" fillId="0" borderId="12" xfId="0" applyFont="1" applyBorder="1"/>
    <xf numFmtId="4" fontId="10" fillId="0" borderId="26" xfId="0" applyNumberFormat="1" applyFont="1" applyBorder="1" applyAlignment="1" applyProtection="1">
      <alignment horizontal="right" vertical="center" wrapText="1"/>
    </xf>
    <xf numFmtId="4" fontId="18" fillId="3" borderId="12" xfId="0" applyNumberFormat="1" applyFont="1" applyFill="1" applyBorder="1" applyAlignment="1" applyProtection="1">
      <alignment horizontal="center" vertical="center" wrapText="1"/>
    </xf>
    <xf numFmtId="4" fontId="18" fillId="3" borderId="24" xfId="0" applyNumberFormat="1" applyFont="1" applyFill="1" applyBorder="1" applyAlignment="1" applyProtection="1">
      <alignment horizontal="center" vertical="center" wrapText="1"/>
    </xf>
    <xf numFmtId="49" fontId="10" fillId="0" borderId="12" xfId="0" applyNumberFormat="1" applyFont="1" applyBorder="1" applyAlignment="1" applyProtection="1">
      <alignment horizontal="right" vertical="center" wrapText="1"/>
    </xf>
    <xf numFmtId="4" fontId="10" fillId="0" borderId="0" xfId="0" applyNumberFormat="1" applyFont="1" applyAlignment="1" applyProtection="1">
      <alignment horizontal="right" vertical="center" wrapText="1"/>
    </xf>
    <xf numFmtId="4" fontId="8" fillId="0" borderId="12" xfId="0" applyNumberFormat="1" applyFont="1" applyBorder="1" applyAlignment="1" applyProtection="1">
      <alignment horizontal="right" vertical="center" wrapText="1"/>
    </xf>
    <xf numFmtId="0" fontId="3" fillId="0" borderId="12" xfId="0" applyFont="1" applyBorder="1"/>
    <xf numFmtId="4" fontId="7" fillId="0" borderId="12" xfId="0" applyNumberFormat="1" applyFont="1" applyBorder="1" applyAlignment="1" applyProtection="1">
      <alignment horizontal="center" vertical="center" wrapText="1"/>
    </xf>
    <xf numFmtId="4" fontId="8" fillId="0" borderId="12" xfId="0" applyNumberFormat="1" applyFont="1" applyBorder="1" applyAlignment="1" applyProtection="1">
      <alignment horizontal="center" vertical="center" wrapText="1"/>
    </xf>
    <xf numFmtId="4" fontId="8" fillId="0" borderId="0" xfId="0" applyNumberFormat="1" applyFont="1" applyAlignment="1" applyProtection="1">
      <alignment horizontal="center" vertical="center" wrapText="1"/>
    </xf>
    <xf numFmtId="14" fontId="8" fillId="0" borderId="12" xfId="0" applyNumberFormat="1" applyFont="1" applyBorder="1" applyAlignment="1" applyProtection="1">
      <alignment horizontal="center" vertical="center" wrapText="1"/>
    </xf>
    <xf numFmtId="3" fontId="8" fillId="0" borderId="12" xfId="0" applyNumberFormat="1" applyFont="1" applyBorder="1" applyAlignment="1" applyProtection="1">
      <alignment horizontal="center" vertical="center" wrapText="1"/>
    </xf>
    <xf numFmtId="49" fontId="8" fillId="0" borderId="12" xfId="0" applyNumberFormat="1" applyFont="1" applyBorder="1" applyAlignment="1" applyProtection="1">
      <alignment horizontal="center" vertical="center" wrapText="1"/>
    </xf>
    <xf numFmtId="4" fontId="7" fillId="0" borderId="12" xfId="0" applyNumberFormat="1" applyFont="1" applyBorder="1" applyAlignment="1" applyProtection="1">
      <alignment horizontal="center" vertical="center" wrapText="1"/>
      <protection locked="0"/>
    </xf>
    <xf numFmtId="4" fontId="15" fillId="0" borderId="12" xfId="0" applyNumberFormat="1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Protection="1">
      <protection locked="0"/>
    </xf>
    <xf numFmtId="0" fontId="3" fillId="0" borderId="19" xfId="0" applyFont="1" applyBorder="1" applyProtection="1">
      <protection locked="0"/>
    </xf>
    <xf numFmtId="0" fontId="3" fillId="0" borderId="29" xfId="0" applyFont="1" applyBorder="1" applyProtection="1">
      <protection locked="0"/>
    </xf>
    <xf numFmtId="49" fontId="9" fillId="0" borderId="2" xfId="0" applyNumberFormat="1" applyFont="1" applyBorder="1" applyAlignment="1">
      <alignment horizontal="center" vertical="center" wrapText="1"/>
    </xf>
    <xf numFmtId="0" fontId="14" fillId="0" borderId="12" xfId="0" applyFont="1" applyBorder="1" applyProtection="1">
      <protection locked="0"/>
    </xf>
    <xf numFmtId="4" fontId="10" fillId="0" borderId="28" xfId="0" applyNumberFormat="1" applyFont="1" applyBorder="1" applyAlignment="1">
      <alignment horizontal="right" vertical="center" wrapText="1"/>
    </xf>
    <xf numFmtId="49" fontId="8" fillId="3" borderId="12" xfId="0" applyNumberFormat="1" applyFont="1" applyFill="1" applyBorder="1" applyAlignment="1">
      <alignment horizontal="right" vertical="center" wrapText="1"/>
    </xf>
    <xf numFmtId="4" fontId="8" fillId="3" borderId="0" xfId="0" applyNumberFormat="1" applyFont="1" applyFill="1" applyAlignment="1">
      <alignment horizontal="right" vertical="center" wrapText="1"/>
    </xf>
    <xf numFmtId="0" fontId="15" fillId="0" borderId="2" xfId="0" applyFont="1" applyBorder="1" applyAlignment="1">
      <alignment horizontal="center" vertical="center" wrapText="1"/>
    </xf>
    <xf numFmtId="4" fontId="18" fillId="3" borderId="12" xfId="0" applyNumberFormat="1" applyFont="1" applyFill="1" applyBorder="1" applyAlignment="1">
      <alignment horizontal="center" vertical="center" wrapText="1"/>
    </xf>
    <xf numFmtId="14" fontId="8" fillId="3" borderId="12" xfId="0" applyNumberFormat="1" applyFont="1" applyFill="1" applyBorder="1" applyAlignment="1">
      <alignment horizontal="center" vertical="center" wrapText="1"/>
    </xf>
    <xf numFmtId="4" fontId="8" fillId="3" borderId="12" xfId="0" applyNumberFormat="1" applyFont="1" applyFill="1" applyBorder="1" applyAlignment="1">
      <alignment horizontal="center" vertical="center" wrapText="1"/>
    </xf>
    <xf numFmtId="4" fontId="7" fillId="0" borderId="12" xfId="0" applyNumberFormat="1" applyFont="1" applyBorder="1" applyAlignment="1">
      <alignment horizontal="center" vertical="center" wrapText="1"/>
    </xf>
    <xf numFmtId="4" fontId="7" fillId="0" borderId="12" xfId="0" applyNumberFormat="1" applyFont="1" applyBorder="1" applyAlignment="1" applyProtection="1">
      <alignment horizontal="center" vertical="center" wrapText="1"/>
      <protection locked="0"/>
    </xf>
    <xf numFmtId="0" fontId="0" fillId="0" borderId="12" xfId="0" applyBorder="1"/>
    <xf numFmtId="14" fontId="8" fillId="0" borderId="12" xfId="0" applyNumberFormat="1" applyFont="1" applyBorder="1" applyAlignment="1" applyProtection="1">
      <alignment horizontal="center" vertical="center" wrapText="1"/>
      <protection locked="0"/>
    </xf>
    <xf numFmtId="49" fontId="8" fillId="0" borderId="12" xfId="0" applyNumberFormat="1" applyFont="1" applyBorder="1" applyAlignment="1" applyProtection="1">
      <alignment horizontal="center" vertical="center" wrapText="1"/>
      <protection locked="0"/>
    </xf>
    <xf numFmtId="4" fontId="8" fillId="0" borderId="12" xfId="0" applyNumberFormat="1" applyFont="1" applyBorder="1" applyAlignment="1" applyProtection="1">
      <alignment horizontal="center" vertical="center" wrapText="1"/>
      <protection locked="0"/>
    </xf>
    <xf numFmtId="4" fontId="15" fillId="0" borderId="12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2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 applyAlignment="1">
      <alignment wrapText="1"/>
    </xf>
    <xf numFmtId="2" fontId="2" fillId="0" borderId="12" xfId="0" applyNumberFormat="1" applyFont="1" applyBorder="1" applyAlignment="1">
      <alignment horizontal="right" vertical="center"/>
    </xf>
    <xf numFmtId="4" fontId="3" fillId="0" borderId="12" xfId="0" applyNumberFormat="1" applyFont="1" applyBorder="1"/>
    <xf numFmtId="4" fontId="2" fillId="0" borderId="12" xfId="0" applyNumberFormat="1" applyFont="1" applyBorder="1" applyAlignment="1">
      <alignment vertical="center"/>
    </xf>
    <xf numFmtId="0" fontId="3" fillId="0" borderId="2" xfId="0" applyFont="1" applyBorder="1"/>
    <xf numFmtId="4" fontId="10" fillId="0" borderId="18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4" fontId="2" fillId="0" borderId="18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14" fontId="2" fillId="0" borderId="12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14" fontId="2" fillId="0" borderId="12" xfId="0" applyNumberFormat="1" applyFont="1" applyBorder="1"/>
    <xf numFmtId="49" fontId="2" fillId="0" borderId="12" xfId="0" applyNumberFormat="1" applyFont="1" applyBorder="1"/>
    <xf numFmtId="0" fontId="2" fillId="0" borderId="12" xfId="0" applyFont="1" applyBorder="1" applyAlignment="1">
      <alignment horizontal="right" wrapText="1"/>
    </xf>
    <xf numFmtId="0" fontId="3" fillId="0" borderId="18" xfId="0" applyFont="1" applyBorder="1" applyAlignment="1">
      <alignment horizontal="right"/>
    </xf>
    <xf numFmtId="0" fontId="4" fillId="0" borderId="0" xfId="0" applyFont="1" applyAlignment="1">
      <alignment vertical="center"/>
    </xf>
    <xf numFmtId="0" fontId="0" fillId="0" borderId="0" xfId="0"/>
    <xf numFmtId="0" fontId="6" fillId="2" borderId="19" xfId="0" applyFont="1" applyFill="1" applyBorder="1" applyProtection="1">
      <protection locked="0"/>
    </xf>
    <xf numFmtId="0" fontId="15" fillId="0" borderId="1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 wrapText="1"/>
    </xf>
    <xf numFmtId="14" fontId="21" fillId="0" borderId="12" xfId="0" applyNumberFormat="1" applyFont="1" applyBorder="1" applyAlignment="1">
      <alignment vertical="center" wrapText="1"/>
    </xf>
    <xf numFmtId="49" fontId="22" fillId="0" borderId="12" xfId="0" applyNumberFormat="1" applyFont="1" applyBorder="1" applyAlignment="1">
      <alignment horizontal="right" vertical="center" wrapText="1"/>
    </xf>
    <xf numFmtId="4" fontId="23" fillId="0" borderId="12" xfId="0" applyNumberFormat="1" applyFont="1" applyBorder="1" applyAlignment="1">
      <alignment horizontal="right" vertical="center" wrapText="1"/>
    </xf>
    <xf numFmtId="4" fontId="23" fillId="0" borderId="31" xfId="0" applyNumberFormat="1" applyFont="1" applyBorder="1" applyAlignment="1">
      <alignment horizontal="left" vertical="top" wrapText="1"/>
    </xf>
    <xf numFmtId="4" fontId="23" fillId="0" borderId="31" xfId="0" applyNumberFormat="1" applyFont="1" applyBorder="1" applyAlignment="1">
      <alignment horizontal="right" vertical="top" wrapText="1"/>
    </xf>
    <xf numFmtId="14" fontId="10" fillId="0" borderId="0" xfId="0" applyNumberFormat="1" applyFont="1" applyAlignment="1">
      <alignment horizontal="left" vertical="top" wrapText="1"/>
    </xf>
    <xf numFmtId="4" fontId="8" fillId="0" borderId="13" xfId="0" applyNumberFormat="1" applyFont="1" applyBorder="1" applyAlignment="1">
      <alignment horizontal="center" vertical="center" wrapText="1"/>
    </xf>
    <xf numFmtId="14" fontId="8" fillId="0" borderId="13" xfId="0" applyNumberFormat="1" applyFont="1" applyBorder="1" applyAlignment="1">
      <alignment horizontal="center" vertical="center" wrapText="1"/>
    </xf>
    <xf numFmtId="14" fontId="22" fillId="0" borderId="12" xfId="0" applyNumberFormat="1" applyFont="1" applyBorder="1" applyAlignment="1">
      <alignment vertical="center" wrapText="1"/>
    </xf>
    <xf numFmtId="49" fontId="24" fillId="0" borderId="12" xfId="0" applyNumberFormat="1" applyFont="1" applyBorder="1" applyAlignment="1">
      <alignment horizontal="right" vertical="center" wrapText="1"/>
    </xf>
    <xf numFmtId="4" fontId="22" fillId="0" borderId="18" xfId="0" applyNumberFormat="1" applyFont="1" applyBorder="1" applyAlignment="1">
      <alignment horizontal="right" vertical="center" wrapText="1"/>
    </xf>
    <xf numFmtId="4" fontId="10" fillId="0" borderId="32" xfId="0" applyNumberFormat="1" applyFont="1" applyBorder="1" applyAlignment="1">
      <alignment horizontal="right" vertical="center" wrapText="1"/>
    </xf>
    <xf numFmtId="49" fontId="24" fillId="0" borderId="0" xfId="0" applyNumberFormat="1" applyFont="1" applyAlignment="1">
      <alignment horizontal="right" vertical="center" wrapText="1"/>
    </xf>
    <xf numFmtId="14" fontId="23" fillId="0" borderId="12" xfId="0" applyNumberFormat="1" applyFont="1" applyBorder="1" applyAlignment="1">
      <alignment horizontal="right" vertical="center" wrapText="1"/>
    </xf>
    <xf numFmtId="49" fontId="23" fillId="0" borderId="12" xfId="0" applyNumberFormat="1" applyFont="1" applyBorder="1" applyAlignment="1">
      <alignment horizontal="right" vertical="center" wrapText="1"/>
    </xf>
    <xf numFmtId="4" fontId="8" fillId="0" borderId="18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right" vertical="center" wrapText="1"/>
    </xf>
    <xf numFmtId="14" fontId="23" fillId="0" borderId="0" xfId="0" applyNumberFormat="1" applyFont="1" applyAlignment="1">
      <alignment horizontal="right" vertical="center" wrapText="1"/>
    </xf>
    <xf numFmtId="4" fontId="23" fillId="0" borderId="12" xfId="0" applyNumberFormat="1" applyFont="1" applyBorder="1" applyAlignment="1">
      <alignment horizontal="right" vertical="top" wrapText="1"/>
    </xf>
    <xf numFmtId="4" fontId="23" fillId="0" borderId="1" xfId="0" applyNumberFormat="1" applyFont="1" applyBorder="1" applyAlignment="1">
      <alignment horizontal="right" vertical="center" wrapText="1"/>
    </xf>
    <xf numFmtId="4" fontId="23" fillId="0" borderId="12" xfId="0" applyNumberFormat="1" applyFont="1" applyBorder="1" applyAlignment="1">
      <alignment vertical="top" wrapText="1"/>
    </xf>
    <xf numFmtId="4" fontId="23" fillId="0" borderId="12" xfId="0" applyNumberFormat="1" applyFont="1" applyBorder="1" applyAlignment="1">
      <alignment vertical="center" wrapText="1"/>
    </xf>
    <xf numFmtId="14" fontId="23" fillId="0" borderId="12" xfId="0" applyNumberFormat="1" applyFont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14" fontId="23" fillId="0" borderId="0" xfId="0" applyNumberFormat="1" applyFont="1" applyAlignment="1">
      <alignment horizontal="center" vertical="center" wrapText="1"/>
    </xf>
    <xf numFmtId="4" fontId="22" fillId="0" borderId="18" xfId="0" applyNumberFormat="1" applyFont="1" applyBorder="1" applyAlignment="1">
      <alignment vertical="center" wrapText="1"/>
    </xf>
    <xf numFmtId="14" fontId="8" fillId="0" borderId="1" xfId="0" applyNumberFormat="1" applyFont="1" applyBorder="1" applyAlignment="1">
      <alignment vertical="center" wrapText="1"/>
    </xf>
    <xf numFmtId="4" fontId="8" fillId="0" borderId="0" xfId="0" applyNumberFormat="1" applyFont="1" applyAlignment="1">
      <alignment vertical="center" wrapText="1"/>
    </xf>
    <xf numFmtId="4" fontId="8" fillId="0" borderId="13" xfId="0" applyNumberFormat="1" applyFont="1" applyBorder="1" applyAlignment="1">
      <alignment horizontal="right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5" fillId="0" borderId="12" xfId="0" applyNumberFormat="1" applyFont="1" applyBorder="1" applyAlignment="1">
      <alignment horizontal="right" vertical="center" wrapText="1"/>
    </xf>
    <xf numFmtId="14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9" fontId="25" fillId="0" borderId="12" xfId="0" applyNumberFormat="1" applyFont="1" applyBorder="1" applyAlignment="1">
      <alignment horizontal="center" vertical="center" wrapText="1"/>
    </xf>
    <xf numFmtId="14" fontId="26" fillId="0" borderId="12" xfId="0" applyNumberFormat="1" applyFont="1" applyBorder="1" applyAlignment="1">
      <alignment horizontal="center" vertical="center" wrapText="1"/>
    </xf>
    <xf numFmtId="49" fontId="26" fillId="0" borderId="12" xfId="0" applyNumberFormat="1" applyFont="1" applyBorder="1" applyAlignment="1">
      <alignment horizontal="center" vertical="center" wrapText="1"/>
    </xf>
    <xf numFmtId="4" fontId="26" fillId="0" borderId="12" xfId="0" applyNumberFormat="1" applyFont="1" applyBorder="1" applyAlignment="1">
      <alignment horizontal="right" vertical="center" wrapText="1"/>
    </xf>
    <xf numFmtId="14" fontId="26" fillId="0" borderId="1" xfId="0" applyNumberFormat="1" applyFont="1" applyBorder="1" applyAlignment="1">
      <alignment horizontal="center" vertical="center" wrapText="1"/>
    </xf>
    <xf numFmtId="14" fontId="25" fillId="0" borderId="12" xfId="0" applyNumberFormat="1" applyFont="1" applyBorder="1" applyAlignment="1">
      <alignment vertical="center" wrapText="1"/>
    </xf>
    <xf numFmtId="14" fontId="26" fillId="0" borderId="21" xfId="0" applyNumberFormat="1" applyFont="1" applyBorder="1" applyAlignment="1">
      <alignment horizontal="center" vertical="center" wrapText="1"/>
    </xf>
    <xf numFmtId="49" fontId="25" fillId="0" borderId="18" xfId="0" applyNumberFormat="1" applyFont="1" applyBorder="1" applyAlignment="1">
      <alignment horizontal="center" vertical="center" wrapText="1"/>
    </xf>
    <xf numFmtId="4" fontId="25" fillId="0" borderId="18" xfId="0" applyNumberFormat="1" applyFont="1" applyBorder="1" applyAlignment="1">
      <alignment horizontal="right" vertical="center" wrapText="1"/>
    </xf>
    <xf numFmtId="0" fontId="15" fillId="0" borderId="12" xfId="0" applyFont="1" applyBorder="1" applyAlignment="1">
      <alignment wrapText="1"/>
    </xf>
    <xf numFmtId="4" fontId="10" fillId="0" borderId="12" xfId="0" applyNumberFormat="1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12" xfId="0" applyBorder="1" applyAlignment="1">
      <alignment wrapText="1"/>
    </xf>
    <xf numFmtId="0" fontId="28" fillId="0" borderId="1" xfId="0" applyFont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0" fontId="7" fillId="0" borderId="22" xfId="0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0" fontId="7" fillId="0" borderId="25" xfId="0" applyFont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7" fillId="0" borderId="3" xfId="0" applyFont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18" xfId="0" applyFont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</xf>
    <xf numFmtId="0" fontId="7" fillId="0" borderId="24" xfId="0" applyFont="1" applyBorder="1" applyAlignment="1" applyProtection="1">
      <alignment horizontal="center" vertical="center" wrapText="1"/>
    </xf>
    <xf numFmtId="0" fontId="7" fillId="0" borderId="19" xfId="0" applyFont="1" applyBorder="1" applyAlignment="1" applyProtection="1">
      <alignment horizontal="center" vertical="center" wrapText="1"/>
    </xf>
    <xf numFmtId="0" fontId="4" fillId="0" borderId="0" xfId="0" applyFont="1" applyAlignment="1">
      <alignment horizontal="left" vertical="center"/>
    </xf>
    <xf numFmtId="0" fontId="7" fillId="0" borderId="7" xfId="0" applyFont="1" applyBorder="1" applyAlignment="1" applyProtection="1">
      <alignment horizontal="center" vertical="center" wrapText="1"/>
    </xf>
    <xf numFmtId="4" fontId="10" fillId="0" borderId="12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" fontId="10" fillId="0" borderId="1" xfId="0" applyNumberFormat="1" applyFont="1" applyBorder="1" applyAlignment="1">
      <alignment horizontal="right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4" fontId="10" fillId="0" borderId="18" xfId="0" applyNumberFormat="1" applyFont="1" applyBorder="1" applyAlignment="1">
      <alignment horizontal="center" vertical="center" wrapText="1"/>
    </xf>
    <xf numFmtId="4" fontId="10" fillId="0" borderId="18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4" fontId="10" fillId="0" borderId="12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2" fillId="0" borderId="13" xfId="0" applyNumberFormat="1" applyFont="1" applyBorder="1" applyAlignment="1">
      <alignment horizontal="center" vertical="center"/>
    </xf>
    <xf numFmtId="4" fontId="2" fillId="0" borderId="1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14" fontId="2" fillId="0" borderId="1" xfId="0" applyNumberFormat="1" applyFont="1" applyBorder="1" applyAlignment="1">
      <alignment horizontal="right" vertical="center"/>
    </xf>
    <xf numFmtId="14" fontId="2" fillId="0" borderId="18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8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" fontId="10" fillId="0" borderId="13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8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/>
    </xf>
    <xf numFmtId="4" fontId="2" fillId="0" borderId="13" xfId="0" applyNumberFormat="1" applyFont="1" applyBorder="1" applyAlignment="1">
      <alignment horizontal="right" vertical="center"/>
    </xf>
    <xf numFmtId="4" fontId="2" fillId="0" borderId="18" xfId="0" applyNumberFormat="1" applyFont="1" applyBorder="1" applyAlignment="1">
      <alignment horizontal="right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4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" fontId="2" fillId="0" borderId="12" xfId="0" applyNumberFormat="1" applyFont="1" applyBorder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" fontId="25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/>
    </xf>
    <xf numFmtId="4" fontId="10" fillId="0" borderId="0" xfId="0" applyNumberFormat="1" applyFont="1" applyAlignment="1">
      <alignment horizontal="right" vertical="center" wrapText="1"/>
    </xf>
    <xf numFmtId="4" fontId="22" fillId="0" borderId="1" xfId="0" applyNumberFormat="1" applyFont="1" applyBorder="1" applyAlignment="1">
      <alignment horizontal="center" vertical="center" wrapText="1"/>
    </xf>
    <xf numFmtId="4" fontId="22" fillId="0" borderId="13" xfId="0" applyNumberFormat="1" applyFont="1" applyBorder="1" applyAlignment="1">
      <alignment horizontal="center" vertical="center" wrapText="1"/>
    </xf>
    <xf numFmtId="4" fontId="22" fillId="0" borderId="18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4" fontId="8" fillId="0" borderId="13" xfId="0" applyNumberFormat="1" applyFont="1" applyBorder="1" applyAlignment="1">
      <alignment horizontal="center" vertical="center" wrapText="1"/>
    </xf>
    <xf numFmtId="14" fontId="8" fillId="0" borderId="13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10" fillId="0" borderId="13" xfId="0" applyNumberFormat="1" applyFont="1" applyBorder="1" applyAlignment="1">
      <alignment horizontal="right" vertical="center" wrapText="1"/>
    </xf>
    <xf numFmtId="4" fontId="8" fillId="3" borderId="13" xfId="0" applyNumberFormat="1" applyFont="1" applyFill="1" applyBorder="1" applyAlignment="1">
      <alignment horizontal="center" vertical="center" wrapText="1"/>
    </xf>
    <xf numFmtId="14" fontId="10" fillId="0" borderId="13" xfId="0" applyNumberFormat="1" applyFont="1" applyBorder="1" applyAlignment="1">
      <alignment horizontal="center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10" fillId="0" borderId="18" xfId="0" applyNumberFormat="1" applyFont="1" applyBorder="1" applyAlignment="1">
      <alignment horizontal="center" vertical="center" wrapText="1"/>
    </xf>
    <xf numFmtId="4" fontId="10" fillId="0" borderId="22" xfId="0" applyNumberFormat="1" applyFont="1" applyBorder="1" applyAlignment="1">
      <alignment horizontal="center" vertical="center" wrapText="1"/>
    </xf>
    <xf numFmtId="4" fontId="10" fillId="0" borderId="24" xfId="0" applyNumberFormat="1" applyFont="1" applyBorder="1" applyAlignment="1">
      <alignment horizontal="center" vertical="center" wrapText="1"/>
    </xf>
    <xf numFmtId="4" fontId="8" fillId="0" borderId="18" xfId="0" applyNumberFormat="1" applyFont="1" applyBorder="1" applyAlignment="1">
      <alignment horizontal="center" vertical="center" wrapText="1"/>
    </xf>
    <xf numFmtId="14" fontId="8" fillId="0" borderId="25" xfId="0" applyNumberFormat="1" applyFont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4" fontId="10" fillId="0" borderId="25" xfId="0" applyNumberFormat="1" applyFont="1" applyBorder="1" applyAlignment="1">
      <alignment horizontal="center" vertical="center" wrapText="1"/>
    </xf>
    <xf numFmtId="4" fontId="10" fillId="0" borderId="14" xfId="0" applyNumberFormat="1" applyFont="1" applyBorder="1" applyAlignment="1">
      <alignment horizontal="center" vertical="center" wrapText="1"/>
    </xf>
    <xf numFmtId="0" fontId="14" fillId="0" borderId="13" xfId="0" applyFont="1" applyBorder="1" applyAlignment="1" applyProtection="1">
      <alignment horizontal="center"/>
      <protection locked="0"/>
    </xf>
    <xf numFmtId="0" fontId="14" fillId="0" borderId="18" xfId="0" applyFont="1" applyBorder="1" applyAlignment="1" applyProtection="1">
      <alignment horizontal="center"/>
      <protection locked="0"/>
    </xf>
    <xf numFmtId="4" fontId="10" fillId="0" borderId="7" xfId="0" applyNumberFormat="1" applyFont="1" applyBorder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14" fontId="8" fillId="0" borderId="12" xfId="0" applyNumberFormat="1" applyFont="1" applyBorder="1" applyAlignment="1">
      <alignment horizontal="center" vertical="center" wrapText="1"/>
    </xf>
    <xf numFmtId="4" fontId="8" fillId="0" borderId="12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8" fillId="5" borderId="18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49" fontId="8" fillId="5" borderId="13" xfId="0" applyNumberFormat="1" applyFont="1" applyFill="1" applyBorder="1" applyAlignment="1">
      <alignment horizontal="center" vertical="center" wrapText="1"/>
    </xf>
    <xf numFmtId="4" fontId="13" fillId="3" borderId="5" xfId="0" applyNumberFormat="1" applyFont="1" applyFill="1" applyBorder="1" applyAlignment="1">
      <alignment horizontal="center" vertical="center" wrapText="1"/>
    </xf>
    <xf numFmtId="4" fontId="13" fillId="3" borderId="22" xfId="0" applyNumberFormat="1" applyFont="1" applyFill="1" applyBorder="1" applyAlignment="1">
      <alignment horizontal="center" vertical="center" wrapText="1"/>
    </xf>
    <xf numFmtId="4" fontId="13" fillId="3" borderId="24" xfId="0" applyNumberFormat="1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9" fillId="5" borderId="19" xfId="0" applyNumberFormat="1" applyFont="1" applyFill="1" applyBorder="1" applyAlignment="1">
      <alignment horizontal="left" vertical="center" wrapText="1"/>
    </xf>
    <xf numFmtId="0" fontId="14" fillId="0" borderId="1" xfId="0" applyFont="1" applyBorder="1" applyAlignment="1" applyProtection="1">
      <alignment horizontal="center"/>
      <protection locked="0"/>
    </xf>
    <xf numFmtId="0" fontId="7" fillId="0" borderId="2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 applyProtection="1">
      <alignment horizontal="left" vertical="center" wrapText="1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8"/>
  <sheetViews>
    <sheetView topLeftCell="AB1" zoomScale="70" zoomScaleNormal="70" workbookViewId="0">
      <pane ySplit="1" topLeftCell="A2" activePane="bottomLeft" state="frozen"/>
      <selection pane="bottomLeft" activeCell="AJ9" sqref="AJ9"/>
    </sheetView>
  </sheetViews>
  <sheetFormatPr defaultRowHeight="15" x14ac:dyDescent="0.25"/>
  <cols>
    <col min="1" max="1" width="44.7109375" customWidth="1"/>
    <col min="2" max="2" width="20.5703125" customWidth="1"/>
    <col min="3" max="3" width="17" style="1" customWidth="1"/>
    <col min="4" max="5" width="14.7109375" style="1" customWidth="1"/>
    <col min="6" max="6" width="9.140625" style="1"/>
    <col min="7" max="8" width="14.7109375" style="1" customWidth="1"/>
    <col min="9" max="9" width="12.140625" style="1" customWidth="1"/>
    <col min="10" max="10" width="12.28515625" style="1" customWidth="1"/>
    <col min="11" max="11" width="13.7109375" style="1" customWidth="1"/>
    <col min="12" max="12" width="13.28515625" style="1" customWidth="1"/>
    <col min="13" max="13" width="14.28515625" style="1" customWidth="1"/>
    <col min="14" max="14" width="12" style="1" customWidth="1"/>
    <col min="15" max="16" width="9.140625" style="1"/>
    <col min="17" max="17" width="13.28515625" style="1" customWidth="1"/>
    <col min="18" max="18" width="9.140625" style="1"/>
    <col min="22" max="22" width="13.140625" customWidth="1"/>
    <col min="24" max="24" width="12.28515625" customWidth="1"/>
    <col min="25" max="25" width="11.7109375" customWidth="1"/>
    <col min="26" max="26" width="15.42578125" customWidth="1"/>
    <col min="27" max="27" width="16.28515625" customWidth="1"/>
    <col min="28" max="28" width="12.140625" customWidth="1"/>
    <col min="29" max="29" width="14.42578125" customWidth="1"/>
    <col min="30" max="30" width="11.5703125" customWidth="1"/>
    <col min="31" max="31" width="12.140625" customWidth="1"/>
    <col min="32" max="32" width="11.28515625" customWidth="1"/>
    <col min="34" max="34" width="14.7109375" customWidth="1"/>
    <col min="35" max="35" width="9.85546875" bestFit="1" customWidth="1"/>
    <col min="36" max="36" width="79" customWidth="1"/>
    <col min="42" max="44" width="14.7109375" customWidth="1"/>
  </cols>
  <sheetData>
    <row r="1" spans="1:48" ht="15.75" x14ac:dyDescent="0.25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ht="18.75" x14ac:dyDescent="0.25">
      <c r="A2" s="252" t="s">
        <v>0</v>
      </c>
      <c r="B2" s="25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4"/>
      <c r="T2" s="4"/>
      <c r="U2" s="4"/>
      <c r="V2" s="4"/>
      <c r="W2" s="4"/>
      <c r="X2" s="6"/>
      <c r="Y2" s="6"/>
      <c r="Z2" s="6"/>
    </row>
    <row r="3" spans="1:48" ht="18.75" x14ac:dyDescent="0.3">
      <c r="A3" s="7" t="s">
        <v>1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8"/>
      <c r="T3" s="8"/>
      <c r="U3" s="8"/>
      <c r="V3" s="8"/>
      <c r="W3" s="8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ht="26.25" customHeight="1" x14ac:dyDescent="0.25">
      <c r="A4" s="233" t="s">
        <v>2</v>
      </c>
      <c r="B4" s="233" t="s">
        <v>3</v>
      </c>
      <c r="C4" s="236" t="s">
        <v>4</v>
      </c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8"/>
      <c r="S4" s="249" t="s">
        <v>5</v>
      </c>
      <c r="T4" s="246"/>
      <c r="U4" s="246"/>
      <c r="V4" s="246"/>
      <c r="W4" s="253"/>
      <c r="X4" s="236" t="s">
        <v>6</v>
      </c>
      <c r="Y4" s="237"/>
      <c r="Z4" s="237"/>
      <c r="AA4" s="238"/>
      <c r="AB4" s="233" t="s">
        <v>7</v>
      </c>
      <c r="AC4" s="233" t="s">
        <v>8</v>
      </c>
      <c r="AD4" s="236" t="s">
        <v>9</v>
      </c>
      <c r="AE4" s="237"/>
      <c r="AF4" s="237"/>
      <c r="AG4" s="237"/>
      <c r="AH4" s="237"/>
      <c r="AI4" s="237"/>
      <c r="AJ4" s="238"/>
      <c r="AK4" s="249" t="s">
        <v>5</v>
      </c>
      <c r="AL4" s="246"/>
      <c r="AM4" s="246"/>
      <c r="AN4" s="246"/>
      <c r="AO4" s="250"/>
      <c r="AP4" s="227" t="s">
        <v>10</v>
      </c>
      <c r="AQ4" s="228"/>
      <c r="AR4" s="229"/>
      <c r="AS4" s="230" t="s">
        <v>11</v>
      </c>
      <c r="AT4" s="2"/>
      <c r="AU4" s="2"/>
      <c r="AV4" s="2"/>
    </row>
    <row r="5" spans="1:48" ht="15.75" x14ac:dyDescent="0.25">
      <c r="A5" s="234"/>
      <c r="B5" s="247"/>
      <c r="C5" s="233" t="s">
        <v>12</v>
      </c>
      <c r="D5" s="236" t="s">
        <v>5</v>
      </c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8"/>
      <c r="S5" s="235"/>
      <c r="T5" s="235"/>
      <c r="U5" s="235"/>
      <c r="V5" s="235"/>
      <c r="W5" s="235"/>
      <c r="X5" s="233" t="s">
        <v>12</v>
      </c>
      <c r="Y5" s="236" t="s">
        <v>5</v>
      </c>
      <c r="Z5" s="237"/>
      <c r="AA5" s="238"/>
      <c r="AB5" s="247"/>
      <c r="AC5" s="247"/>
      <c r="AD5" s="233" t="s">
        <v>12</v>
      </c>
      <c r="AE5" s="236" t="s">
        <v>5</v>
      </c>
      <c r="AF5" s="237"/>
      <c r="AG5" s="237"/>
      <c r="AH5" s="237"/>
      <c r="AI5" s="237"/>
      <c r="AJ5" s="238"/>
      <c r="AK5" s="235"/>
      <c r="AL5" s="235"/>
      <c r="AM5" s="235"/>
      <c r="AN5" s="235"/>
      <c r="AO5" s="251"/>
      <c r="AP5" s="239" t="s">
        <v>12</v>
      </c>
      <c r="AQ5" s="240" t="s">
        <v>5</v>
      </c>
      <c r="AR5" s="241"/>
      <c r="AS5" s="231"/>
      <c r="AT5" s="2"/>
      <c r="AU5" s="2"/>
      <c r="AV5" s="2"/>
    </row>
    <row r="6" spans="1:48" ht="221.25" customHeight="1" x14ac:dyDescent="0.25">
      <c r="A6" s="234"/>
      <c r="B6" s="247"/>
      <c r="C6" s="234"/>
      <c r="D6" s="236" t="s">
        <v>13</v>
      </c>
      <c r="E6" s="237"/>
      <c r="F6" s="237"/>
      <c r="G6" s="237"/>
      <c r="H6" s="238"/>
      <c r="I6" s="377" t="s">
        <v>222</v>
      </c>
      <c r="J6" s="378"/>
      <c r="K6" s="378"/>
      <c r="L6" s="378"/>
      <c r="M6" s="379"/>
      <c r="N6" s="377" t="s">
        <v>223</v>
      </c>
      <c r="O6" s="378"/>
      <c r="P6" s="378"/>
      <c r="Q6" s="378"/>
      <c r="R6" s="379"/>
      <c r="S6" s="242" t="s">
        <v>15</v>
      </c>
      <c r="T6" s="243"/>
      <c r="U6" s="243"/>
      <c r="V6" s="243"/>
      <c r="W6" s="244"/>
      <c r="X6" s="234"/>
      <c r="Y6" s="235" t="s">
        <v>13</v>
      </c>
      <c r="Z6" s="246" t="s">
        <v>16</v>
      </c>
      <c r="AA6" s="235" t="s">
        <v>14</v>
      </c>
      <c r="AB6" s="247"/>
      <c r="AC6" s="235"/>
      <c r="AD6" s="234"/>
      <c r="AE6" s="236" t="s">
        <v>13</v>
      </c>
      <c r="AF6" s="237"/>
      <c r="AG6" s="237"/>
      <c r="AH6" s="237"/>
      <c r="AI6" s="238"/>
      <c r="AJ6" s="13"/>
      <c r="AK6" s="236" t="s">
        <v>15</v>
      </c>
      <c r="AL6" s="237"/>
      <c r="AM6" s="237"/>
      <c r="AN6" s="237"/>
      <c r="AO6" s="238"/>
      <c r="AP6" s="234"/>
      <c r="AQ6" s="235"/>
      <c r="AR6" s="235"/>
      <c r="AS6" s="231"/>
      <c r="AT6" s="2"/>
      <c r="AU6" s="2"/>
      <c r="AV6" s="2"/>
    </row>
    <row r="7" spans="1:48" ht="149.25" customHeight="1" x14ac:dyDescent="0.25">
      <c r="A7" s="234"/>
      <c r="B7" s="248"/>
      <c r="C7" s="235"/>
      <c r="D7" s="11" t="s">
        <v>17</v>
      </c>
      <c r="E7" s="13" t="s">
        <v>18</v>
      </c>
      <c r="F7" s="11" t="s">
        <v>19</v>
      </c>
      <c r="G7" s="13" t="s">
        <v>20</v>
      </c>
      <c r="H7" s="11" t="s">
        <v>21</v>
      </c>
      <c r="I7" s="13" t="s">
        <v>17</v>
      </c>
      <c r="J7" s="11" t="s">
        <v>18</v>
      </c>
      <c r="K7" s="13" t="s">
        <v>19</v>
      </c>
      <c r="L7" s="11" t="s">
        <v>22</v>
      </c>
      <c r="M7" s="13" t="s">
        <v>21</v>
      </c>
      <c r="N7" s="11" t="s">
        <v>17</v>
      </c>
      <c r="O7" s="13" t="s">
        <v>18</v>
      </c>
      <c r="P7" s="11" t="s">
        <v>19</v>
      </c>
      <c r="Q7" s="13" t="s">
        <v>22</v>
      </c>
      <c r="R7" s="11" t="s">
        <v>21</v>
      </c>
      <c r="S7" s="13" t="s">
        <v>17</v>
      </c>
      <c r="T7" s="11" t="s">
        <v>18</v>
      </c>
      <c r="U7" s="13" t="s">
        <v>19</v>
      </c>
      <c r="V7" s="11" t="s">
        <v>20</v>
      </c>
      <c r="W7" s="13" t="s">
        <v>21</v>
      </c>
      <c r="X7" s="234"/>
      <c r="Y7" s="245"/>
      <c r="Z7" s="235"/>
      <c r="AA7" s="245"/>
      <c r="AB7" s="248"/>
      <c r="AC7" s="248"/>
      <c r="AD7" s="235"/>
      <c r="AE7" s="11" t="s">
        <v>17</v>
      </c>
      <c r="AF7" s="13" t="s">
        <v>18</v>
      </c>
      <c r="AG7" s="11" t="s">
        <v>19</v>
      </c>
      <c r="AH7" s="13" t="s">
        <v>20</v>
      </c>
      <c r="AI7" s="11" t="s">
        <v>21</v>
      </c>
      <c r="AJ7" s="382" t="s">
        <v>224</v>
      </c>
      <c r="AK7" s="13" t="s">
        <v>17</v>
      </c>
      <c r="AL7" s="11" t="s">
        <v>18</v>
      </c>
      <c r="AM7" s="13" t="s">
        <v>19</v>
      </c>
      <c r="AN7" s="11" t="s">
        <v>20</v>
      </c>
      <c r="AO7" s="13" t="s">
        <v>21</v>
      </c>
      <c r="AP7" s="234"/>
      <c r="AQ7" s="11" t="s">
        <v>13</v>
      </c>
      <c r="AR7" s="11" t="s">
        <v>23</v>
      </c>
      <c r="AS7" s="232"/>
      <c r="AT7" s="2"/>
      <c r="AU7" s="2"/>
      <c r="AV7" s="2"/>
    </row>
    <row r="8" spans="1:48" ht="15.75" x14ac:dyDescent="0.25">
      <c r="A8" s="14">
        <v>1</v>
      </c>
      <c r="B8" s="14">
        <v>2</v>
      </c>
      <c r="C8" s="15">
        <v>3</v>
      </c>
      <c r="D8" s="15">
        <v>4</v>
      </c>
      <c r="E8" s="15">
        <v>5</v>
      </c>
      <c r="F8" s="15">
        <v>6</v>
      </c>
      <c r="G8" s="15">
        <v>7</v>
      </c>
      <c r="H8" s="15">
        <v>8</v>
      </c>
      <c r="I8" s="15">
        <v>9</v>
      </c>
      <c r="J8" s="15">
        <v>10</v>
      </c>
      <c r="K8" s="15">
        <v>11</v>
      </c>
      <c r="L8" s="15">
        <v>12</v>
      </c>
      <c r="M8" s="15">
        <v>13</v>
      </c>
      <c r="N8" s="15">
        <v>14</v>
      </c>
      <c r="O8" s="15">
        <v>15</v>
      </c>
      <c r="P8" s="16">
        <v>16</v>
      </c>
      <c r="Q8" s="15">
        <v>17</v>
      </c>
      <c r="R8" s="16">
        <v>18</v>
      </c>
      <c r="S8" s="14">
        <v>19</v>
      </c>
      <c r="T8" s="17">
        <v>20</v>
      </c>
      <c r="U8" s="14">
        <v>21</v>
      </c>
      <c r="V8" s="17">
        <v>22</v>
      </c>
      <c r="W8" s="14">
        <v>23</v>
      </c>
      <c r="X8" s="17">
        <v>24</v>
      </c>
      <c r="Y8" s="14">
        <v>25</v>
      </c>
      <c r="Z8" s="14">
        <v>26</v>
      </c>
      <c r="AA8" s="17">
        <v>27</v>
      </c>
      <c r="AB8" s="14">
        <v>28</v>
      </c>
      <c r="AC8" s="17">
        <v>29</v>
      </c>
      <c r="AD8" s="14">
        <v>30</v>
      </c>
      <c r="AE8" s="18">
        <v>31</v>
      </c>
      <c r="AF8" s="14">
        <v>32</v>
      </c>
      <c r="AG8" s="17">
        <v>33</v>
      </c>
      <c r="AH8" s="14">
        <v>34</v>
      </c>
      <c r="AI8" s="17">
        <v>35</v>
      </c>
      <c r="AJ8" s="18">
        <v>36</v>
      </c>
      <c r="AK8" s="14">
        <v>37</v>
      </c>
      <c r="AL8" s="17">
        <v>38</v>
      </c>
      <c r="AM8" s="14">
        <v>39</v>
      </c>
      <c r="AN8" s="17">
        <v>40</v>
      </c>
      <c r="AO8" s="14">
        <v>41</v>
      </c>
      <c r="AP8" s="14">
        <v>42</v>
      </c>
      <c r="AQ8" s="14">
        <v>43</v>
      </c>
      <c r="AR8" s="14">
        <v>44</v>
      </c>
      <c r="AS8" s="14">
        <v>45</v>
      </c>
      <c r="AT8" s="2"/>
      <c r="AU8" s="2"/>
      <c r="AV8" s="2"/>
    </row>
    <row r="9" spans="1:48" ht="78.75" x14ac:dyDescent="0.25">
      <c r="A9" s="19" t="s">
        <v>24</v>
      </c>
      <c r="B9" s="20" t="s">
        <v>25</v>
      </c>
      <c r="C9" s="20" t="s">
        <v>26</v>
      </c>
      <c r="D9" s="19"/>
      <c r="E9" s="20" t="s">
        <v>27</v>
      </c>
      <c r="F9" s="20" t="s">
        <v>28</v>
      </c>
      <c r="G9" s="20" t="s">
        <v>29</v>
      </c>
      <c r="H9" s="20" t="s">
        <v>30</v>
      </c>
      <c r="I9" s="381"/>
      <c r="J9" s="380" t="s">
        <v>218</v>
      </c>
      <c r="K9" s="380" t="s">
        <v>219</v>
      </c>
      <c r="L9" s="380" t="s">
        <v>220</v>
      </c>
      <c r="M9" s="380" t="s">
        <v>221</v>
      </c>
      <c r="N9" s="381"/>
      <c r="O9" s="380" t="s">
        <v>218</v>
      </c>
      <c r="P9" s="380" t="s">
        <v>219</v>
      </c>
      <c r="Q9" s="380" t="s">
        <v>220</v>
      </c>
      <c r="R9" s="380" t="s">
        <v>221</v>
      </c>
      <c r="S9" s="17"/>
      <c r="T9" s="17"/>
      <c r="U9" s="17"/>
      <c r="V9" s="17"/>
      <c r="W9" s="17"/>
      <c r="X9" s="224" t="s">
        <v>207</v>
      </c>
      <c r="Y9" s="224" t="s">
        <v>208</v>
      </c>
      <c r="Z9" s="224" t="s">
        <v>209</v>
      </c>
      <c r="AA9" s="224" t="s">
        <v>210</v>
      </c>
      <c r="AB9" s="226" t="s">
        <v>216</v>
      </c>
      <c r="AC9" s="20" t="s">
        <v>214</v>
      </c>
      <c r="AD9" s="20" t="s">
        <v>215</v>
      </c>
      <c r="AE9" s="21"/>
      <c r="AF9" s="20" t="s">
        <v>27</v>
      </c>
      <c r="AG9" s="20" t="s">
        <v>28</v>
      </c>
      <c r="AH9" s="20" t="s">
        <v>29</v>
      </c>
      <c r="AI9" s="20" t="s">
        <v>30</v>
      </c>
      <c r="AJ9" s="380" t="s">
        <v>221</v>
      </c>
      <c r="AK9" s="22"/>
      <c r="AL9" s="17"/>
      <c r="AM9" s="17"/>
      <c r="AN9" s="17"/>
      <c r="AO9" s="17"/>
      <c r="AP9" s="224" t="s">
        <v>211</v>
      </c>
      <c r="AQ9" s="224" t="s">
        <v>212</v>
      </c>
      <c r="AR9" s="224" t="s">
        <v>213</v>
      </c>
      <c r="AS9" s="226" t="s">
        <v>217</v>
      </c>
      <c r="AT9" s="2"/>
      <c r="AU9" s="2"/>
      <c r="AV9" s="2"/>
    </row>
    <row r="10" spans="1:48" ht="62.25" customHeight="1" x14ac:dyDescent="0.25">
      <c r="A10" s="23" t="s">
        <v>31</v>
      </c>
      <c r="B10" s="24">
        <v>300000000</v>
      </c>
      <c r="C10" s="24">
        <v>300000000</v>
      </c>
      <c r="D10" s="25"/>
      <c r="E10" s="26"/>
      <c r="F10" s="26"/>
      <c r="G10" s="26"/>
      <c r="H10" s="26"/>
      <c r="I10" s="24">
        <v>300000000</v>
      </c>
      <c r="J10" s="27">
        <v>45986</v>
      </c>
      <c r="K10" s="24" t="s">
        <v>32</v>
      </c>
      <c r="L10" s="24" t="s">
        <v>33</v>
      </c>
      <c r="M10" s="24">
        <v>300000000</v>
      </c>
      <c r="N10" s="25"/>
      <c r="O10" s="28"/>
      <c r="P10" s="25"/>
      <c r="Q10" s="28"/>
      <c r="R10" s="25"/>
      <c r="S10" s="29"/>
      <c r="T10" s="30"/>
      <c r="U10" s="29"/>
      <c r="V10" s="30"/>
      <c r="W10" s="29"/>
      <c r="X10" s="31">
        <v>300000000</v>
      </c>
      <c r="Y10" s="32"/>
      <c r="Z10" s="33"/>
      <c r="AA10" s="31">
        <v>300000000</v>
      </c>
      <c r="AB10" s="34"/>
      <c r="AC10" s="31">
        <v>300000000</v>
      </c>
      <c r="AD10" s="31">
        <v>300000000</v>
      </c>
      <c r="AE10" s="35"/>
      <c r="AF10" s="36"/>
      <c r="AG10" s="37"/>
      <c r="AH10" s="34"/>
      <c r="AI10" s="38"/>
      <c r="AJ10" s="31">
        <v>300000000</v>
      </c>
      <c r="AK10" s="39"/>
      <c r="AL10" s="40"/>
      <c r="AM10" s="32"/>
      <c r="AN10" s="40"/>
      <c r="AO10" s="32"/>
      <c r="AP10" s="24">
        <v>300000000</v>
      </c>
      <c r="AQ10" s="24"/>
      <c r="AR10" s="24">
        <v>300000000</v>
      </c>
      <c r="AS10" s="41"/>
      <c r="AT10" s="42"/>
      <c r="AU10" s="42"/>
      <c r="AV10" s="42"/>
    </row>
    <row r="11" spans="1:48" ht="105.75" customHeight="1" x14ac:dyDescent="0.25">
      <c r="A11" s="43" t="s">
        <v>34</v>
      </c>
      <c r="B11" s="24">
        <v>151400000</v>
      </c>
      <c r="C11" s="24">
        <v>151400000</v>
      </c>
      <c r="D11" s="44"/>
      <c r="E11" s="45"/>
      <c r="F11" s="45"/>
      <c r="G11" s="45"/>
      <c r="H11" s="45"/>
      <c r="I11" s="24">
        <v>151400000</v>
      </c>
      <c r="J11" s="27">
        <v>46014</v>
      </c>
      <c r="K11" s="24" t="s">
        <v>35</v>
      </c>
      <c r="L11" s="24" t="s">
        <v>36</v>
      </c>
      <c r="M11" s="24">
        <v>151400000</v>
      </c>
      <c r="N11" s="44"/>
      <c r="O11" s="44"/>
      <c r="P11" s="46"/>
      <c r="Q11" s="44"/>
      <c r="R11" s="46"/>
      <c r="S11" s="47"/>
      <c r="T11" s="48"/>
      <c r="U11" s="47"/>
      <c r="V11" s="48"/>
      <c r="W11" s="49"/>
      <c r="X11" s="31">
        <v>142731000</v>
      </c>
      <c r="Y11" s="50"/>
      <c r="Z11" s="51"/>
      <c r="AA11" s="31">
        <v>142731000</v>
      </c>
      <c r="AB11" s="52"/>
      <c r="AC11" s="53">
        <v>151400000</v>
      </c>
      <c r="AD11" s="54">
        <v>142731000</v>
      </c>
      <c r="AE11" s="54">
        <v>142731000</v>
      </c>
      <c r="AF11" s="55">
        <v>46013</v>
      </c>
      <c r="AG11" s="54" t="s">
        <v>37</v>
      </c>
      <c r="AH11" s="56" t="s">
        <v>38</v>
      </c>
      <c r="AI11" s="57">
        <v>142731000</v>
      </c>
      <c r="AJ11" s="58"/>
      <c r="AK11" s="34"/>
      <c r="AL11" s="27"/>
      <c r="AM11" s="59"/>
      <c r="AN11" s="34"/>
      <c r="AO11" s="24"/>
      <c r="AP11" s="24" t="s">
        <v>39</v>
      </c>
      <c r="AQ11" s="60" t="s">
        <v>39</v>
      </c>
      <c r="AR11" s="24"/>
      <c r="AS11" s="24"/>
      <c r="AT11" s="61"/>
      <c r="AU11" s="61"/>
      <c r="AV11" s="61"/>
    </row>
    <row r="12" spans="1:48" ht="87" customHeight="1" x14ac:dyDescent="0.25">
      <c r="A12" s="43" t="s">
        <v>40</v>
      </c>
      <c r="B12" s="24">
        <v>615600000</v>
      </c>
      <c r="C12" s="24">
        <v>615600000</v>
      </c>
      <c r="D12" s="62" t="s">
        <v>41</v>
      </c>
      <c r="E12" s="63">
        <v>45638</v>
      </c>
      <c r="F12" s="64" t="s">
        <v>42</v>
      </c>
      <c r="G12" s="65" t="s">
        <v>43</v>
      </c>
      <c r="H12" s="62" t="s">
        <v>41</v>
      </c>
      <c r="I12" s="24">
        <v>161600000</v>
      </c>
      <c r="J12" s="66">
        <v>46016</v>
      </c>
      <c r="K12" s="67" t="s">
        <v>44</v>
      </c>
      <c r="L12" s="62" t="s">
        <v>36</v>
      </c>
      <c r="M12" s="24">
        <v>161600000</v>
      </c>
      <c r="N12" s="24"/>
      <c r="O12" s="68"/>
      <c r="P12" s="67"/>
      <c r="Q12" s="67"/>
      <c r="R12" s="69"/>
      <c r="S12" s="70"/>
      <c r="T12" s="71"/>
      <c r="U12" s="72"/>
      <c r="V12" s="67"/>
      <c r="W12" s="67"/>
      <c r="X12" s="73">
        <f>Y12+AA12</f>
        <v>454157662</v>
      </c>
      <c r="Y12" s="31">
        <v>454000000</v>
      </c>
      <c r="Z12" s="74"/>
      <c r="AA12" s="31">
        <v>157662</v>
      </c>
      <c r="AB12" s="75"/>
      <c r="AC12" s="76">
        <v>161600000</v>
      </c>
      <c r="AD12" s="77" t="s">
        <v>45</v>
      </c>
      <c r="AE12" s="77" t="s">
        <v>45</v>
      </c>
      <c r="AF12" s="78">
        <v>45832</v>
      </c>
      <c r="AG12" s="77" t="s">
        <v>46</v>
      </c>
      <c r="AH12" s="77" t="s">
        <v>47</v>
      </c>
      <c r="AI12" s="79"/>
      <c r="AJ12" s="79"/>
      <c r="AK12" s="80"/>
      <c r="AL12" s="79"/>
      <c r="AM12" s="79"/>
      <c r="AN12" s="79"/>
      <c r="AO12" s="79"/>
      <c r="AP12" s="77" t="s">
        <v>45</v>
      </c>
      <c r="AQ12" s="77" t="s">
        <v>45</v>
      </c>
      <c r="AR12" s="79"/>
      <c r="AS12" s="81"/>
      <c r="AT12" s="6"/>
      <c r="AU12" s="6"/>
      <c r="AV12" s="6"/>
    </row>
    <row r="13" spans="1:48" ht="77.25" customHeight="1" x14ac:dyDescent="0.25">
      <c r="A13" s="82" t="s">
        <v>48</v>
      </c>
      <c r="B13" s="24">
        <v>36938330</v>
      </c>
      <c r="C13" s="24">
        <v>36938330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24">
        <v>36938330</v>
      </c>
      <c r="O13" s="84">
        <v>46016</v>
      </c>
      <c r="P13" s="1" t="s">
        <v>49</v>
      </c>
      <c r="Q13" s="1" t="s">
        <v>50</v>
      </c>
      <c r="R13" s="85">
        <v>36938330</v>
      </c>
      <c r="S13" s="1" t="s">
        <v>51</v>
      </c>
      <c r="T13" s="84">
        <v>45636</v>
      </c>
      <c r="U13" s="1">
        <v>320</v>
      </c>
      <c r="V13" s="86" t="s">
        <v>52</v>
      </c>
      <c r="W13" s="1" t="s">
        <v>51</v>
      </c>
      <c r="X13" s="87" t="s">
        <v>51</v>
      </c>
      <c r="Y13" s="6"/>
      <c r="Z13" s="87" t="s">
        <v>51</v>
      </c>
      <c r="AA13" s="6"/>
      <c r="AB13" s="6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6"/>
      <c r="AU13" s="6"/>
      <c r="AV13" s="6"/>
    </row>
    <row r="14" spans="1:48" ht="15.75" x14ac:dyDescent="0.25">
      <c r="A14" s="6"/>
      <c r="B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ht="15.75" x14ac:dyDescent="0.25">
      <c r="A15" s="6"/>
      <c r="B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ht="15.75" x14ac:dyDescent="0.25">
      <c r="A16" s="6"/>
      <c r="B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ht="15.75" x14ac:dyDescent="0.25">
      <c r="A17" s="6"/>
      <c r="B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ht="15.75" x14ac:dyDescent="0.25">
      <c r="A18" s="6"/>
      <c r="B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ht="15.75" x14ac:dyDescent="0.25">
      <c r="A19" s="6"/>
      <c r="B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ht="15.75" x14ac:dyDescent="0.25">
      <c r="A20" s="6"/>
      <c r="B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ht="15.75" x14ac:dyDescent="0.25">
      <c r="A21" s="6"/>
      <c r="B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ht="15.75" x14ac:dyDescent="0.25">
      <c r="A22" s="6"/>
      <c r="B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ht="15.75" x14ac:dyDescent="0.25">
      <c r="A23" s="6"/>
      <c r="B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ht="15.75" x14ac:dyDescent="0.25">
      <c r="A24" s="6"/>
      <c r="B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ht="15.75" x14ac:dyDescent="0.25">
      <c r="A25" s="6"/>
      <c r="B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ht="15.75" x14ac:dyDescent="0.25">
      <c r="A26" s="6"/>
      <c r="B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ht="15.75" x14ac:dyDescent="0.25">
      <c r="A27" s="6"/>
      <c r="B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ht="15.75" x14ac:dyDescent="0.25">
      <c r="A28" s="6"/>
      <c r="B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ht="15.75" x14ac:dyDescent="0.25">
      <c r="A29" s="6"/>
      <c r="B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ht="15.75" x14ac:dyDescent="0.25">
      <c r="A30" s="6"/>
      <c r="B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ht="15.75" x14ac:dyDescent="0.25">
      <c r="A31" s="6"/>
      <c r="B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ht="15.75" x14ac:dyDescent="0.25">
      <c r="A32" s="6"/>
      <c r="B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ht="15.75" x14ac:dyDescent="0.25">
      <c r="A33" s="6"/>
      <c r="B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ht="15.75" x14ac:dyDescent="0.25">
      <c r="A34" s="6"/>
      <c r="B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ht="15.75" x14ac:dyDescent="0.25">
      <c r="A35" s="6"/>
      <c r="B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5.75" x14ac:dyDescent="0.25">
      <c r="A36" s="6"/>
      <c r="B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ht="15.75" x14ac:dyDescent="0.25">
      <c r="A37" s="6"/>
      <c r="B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ht="15.75" x14ac:dyDescent="0.25">
      <c r="A38" s="6"/>
      <c r="B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ht="15.75" x14ac:dyDescent="0.25">
      <c r="A39" s="6"/>
      <c r="B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ht="15.75" x14ac:dyDescent="0.25">
      <c r="A40" s="6"/>
      <c r="B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ht="15.75" x14ac:dyDescent="0.25">
      <c r="A41" s="6"/>
      <c r="B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ht="15.75" x14ac:dyDescent="0.25">
      <c r="A42" s="6"/>
      <c r="B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ht="15.75" x14ac:dyDescent="0.25">
      <c r="A43" s="6"/>
      <c r="B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ht="15.75" x14ac:dyDescent="0.25">
      <c r="A44" s="6"/>
      <c r="B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ht="15.75" x14ac:dyDescent="0.25">
      <c r="A45" s="6"/>
      <c r="B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ht="15.75" x14ac:dyDescent="0.25">
      <c r="A46" s="6"/>
      <c r="B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ht="15.75" x14ac:dyDescent="0.25">
      <c r="A47" s="6"/>
      <c r="B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ht="15.75" x14ac:dyDescent="0.25">
      <c r="A48" s="6"/>
      <c r="B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ht="15.75" x14ac:dyDescent="0.25">
      <c r="A49" s="6"/>
      <c r="B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ht="15.75" x14ac:dyDescent="0.25">
      <c r="A50" s="6"/>
      <c r="B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ht="15.75" x14ac:dyDescent="0.25">
      <c r="A51" s="6"/>
      <c r="B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ht="15.75" x14ac:dyDescent="0.25">
      <c r="A52" s="6"/>
      <c r="B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ht="15.75" x14ac:dyDescent="0.25">
      <c r="A53" s="6"/>
      <c r="B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ht="15.75" x14ac:dyDescent="0.25">
      <c r="A54" s="6"/>
      <c r="B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ht="15.75" x14ac:dyDescent="0.25">
      <c r="A55" s="6"/>
      <c r="B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ht="15.75" x14ac:dyDescent="0.25">
      <c r="A56" s="6"/>
      <c r="B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ht="15.75" x14ac:dyDescent="0.25">
      <c r="A57" s="6"/>
      <c r="B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ht="15.75" x14ac:dyDescent="0.25">
      <c r="A58" s="6"/>
      <c r="B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</sheetData>
  <mergeCells count="29">
    <mergeCell ref="A2:B2"/>
    <mergeCell ref="A4:A7"/>
    <mergeCell ref="B4:B7"/>
    <mergeCell ref="C4:R4"/>
    <mergeCell ref="S4:W5"/>
    <mergeCell ref="X4:AA4"/>
    <mergeCell ref="AB4:AB7"/>
    <mergeCell ref="AC4:AC7"/>
    <mergeCell ref="AD4:AJ4"/>
    <mergeCell ref="AK4:AO5"/>
    <mergeCell ref="AA6:AA7"/>
    <mergeCell ref="AE6:AI6"/>
    <mergeCell ref="AK6:AO6"/>
    <mergeCell ref="AP4:AR4"/>
    <mergeCell ref="AS4:AS7"/>
    <mergeCell ref="C5:C7"/>
    <mergeCell ref="D5:R5"/>
    <mergeCell ref="X5:X7"/>
    <mergeCell ref="Y5:AA5"/>
    <mergeCell ref="AD5:AD7"/>
    <mergeCell ref="AE5:AJ5"/>
    <mergeCell ref="AP5:AP7"/>
    <mergeCell ref="AQ5:AR6"/>
    <mergeCell ref="D6:H6"/>
    <mergeCell ref="I6:M6"/>
    <mergeCell ref="N6:R6"/>
    <mergeCell ref="S6:W6"/>
    <mergeCell ref="Y6:Y7"/>
    <mergeCell ref="Z6:Z7"/>
  </mergeCells>
  <pageMargins left="0.70078740157480324" right="0.70078740157480324" top="0.75196850393700787" bottom="0.75196850393700787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S12"/>
  <sheetViews>
    <sheetView zoomScale="55" zoomScaleNormal="55" workbookViewId="0">
      <pane xSplit="1" ySplit="12" topLeftCell="AD13" activePane="bottomRight" state="frozen"/>
      <selection activeCell="X27" sqref="X27"/>
      <selection pane="topRight"/>
      <selection pane="bottomLeft"/>
      <selection pane="bottomRight" activeCell="AJ7" sqref="AJ7"/>
    </sheetView>
  </sheetViews>
  <sheetFormatPr defaultColWidth="9.140625" defaultRowHeight="15.75" x14ac:dyDescent="0.25"/>
  <cols>
    <col min="1" max="1" width="32" style="6" customWidth="1"/>
    <col min="2" max="9" width="22.7109375" style="6" customWidth="1"/>
    <col min="10" max="23" width="25.140625" style="6" customWidth="1"/>
    <col min="24" max="24" width="22.85546875" style="6" customWidth="1"/>
    <col min="25" max="26" width="23.7109375" style="6" customWidth="1"/>
    <col min="27" max="35" width="25.7109375" style="6" customWidth="1"/>
    <col min="36" max="36" width="75.28515625" style="6" customWidth="1"/>
    <col min="37" max="41" width="25.7109375" style="6" customWidth="1"/>
    <col min="42" max="42" width="24.85546875" style="6" customWidth="1"/>
    <col min="43" max="43" width="21.140625" style="6" customWidth="1"/>
    <col min="44" max="44" width="21.7109375" style="6" customWidth="1"/>
    <col min="45" max="45" width="10.7109375" style="6" customWidth="1"/>
    <col min="46" max="16384" width="9.140625" style="6"/>
  </cols>
  <sheetData>
    <row r="1" spans="1:45" s="88" customFormat="1" x14ac:dyDescent="0.25"/>
    <row r="2" spans="1:45" s="89" customFormat="1" ht="18.75" customHeight="1" x14ac:dyDescent="0.25">
      <c r="A2" s="270" t="s">
        <v>53</v>
      </c>
      <c r="B2" s="270"/>
      <c r="C2"/>
      <c r="D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6"/>
      <c r="Y2" s="6"/>
      <c r="Z2" s="6"/>
    </row>
    <row r="3" spans="1:45" s="88" customFormat="1" ht="18.75" x14ac:dyDescent="0.3">
      <c r="A3" s="91" t="s">
        <v>54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</row>
    <row r="4" spans="1:45" s="88" customFormat="1" ht="33.75" customHeight="1" x14ac:dyDescent="0.25">
      <c r="A4" s="257" t="s">
        <v>2</v>
      </c>
      <c r="B4" s="256" t="s">
        <v>3</v>
      </c>
      <c r="C4" s="261" t="s">
        <v>4</v>
      </c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3"/>
      <c r="S4" s="267" t="s">
        <v>5</v>
      </c>
      <c r="T4" s="267"/>
      <c r="U4" s="267"/>
      <c r="V4" s="267"/>
      <c r="W4" s="271"/>
      <c r="X4" s="257" t="s">
        <v>6</v>
      </c>
      <c r="Y4" s="257"/>
      <c r="Z4" s="257"/>
      <c r="AA4" s="257"/>
      <c r="AB4" s="256" t="s">
        <v>7</v>
      </c>
      <c r="AC4" s="256" t="s">
        <v>8</v>
      </c>
      <c r="AD4" s="262" t="s">
        <v>9</v>
      </c>
      <c r="AE4" s="262"/>
      <c r="AF4" s="262"/>
      <c r="AG4" s="262"/>
      <c r="AH4" s="262"/>
      <c r="AI4" s="262"/>
      <c r="AJ4" s="263"/>
      <c r="AK4" s="266" t="s">
        <v>5</v>
      </c>
      <c r="AL4" s="267"/>
      <c r="AM4" s="267"/>
      <c r="AN4" s="267"/>
      <c r="AO4" s="267"/>
      <c r="AP4" s="254" t="s">
        <v>10</v>
      </c>
      <c r="AQ4" s="255"/>
      <c r="AR4" s="255"/>
      <c r="AS4" s="230" t="s">
        <v>11</v>
      </c>
    </row>
    <row r="5" spans="1:45" s="88" customFormat="1" ht="33.75" customHeight="1" x14ac:dyDescent="0.25">
      <c r="A5" s="257"/>
      <c r="B5" s="265"/>
      <c r="C5" s="256" t="s">
        <v>12</v>
      </c>
      <c r="D5" s="258" t="s">
        <v>5</v>
      </c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60"/>
      <c r="S5" s="259"/>
      <c r="T5" s="259"/>
      <c r="U5" s="259"/>
      <c r="V5" s="259"/>
      <c r="W5" s="260"/>
      <c r="X5" s="257" t="s">
        <v>12</v>
      </c>
      <c r="Y5" s="257" t="s">
        <v>5</v>
      </c>
      <c r="Z5" s="257"/>
      <c r="AA5" s="257"/>
      <c r="AB5" s="265"/>
      <c r="AC5" s="259"/>
      <c r="AD5" s="256" t="s">
        <v>12</v>
      </c>
      <c r="AE5" s="261" t="s">
        <v>5</v>
      </c>
      <c r="AF5" s="262"/>
      <c r="AG5" s="262"/>
      <c r="AH5" s="262"/>
      <c r="AI5" s="262"/>
      <c r="AJ5" s="263"/>
      <c r="AK5" s="268"/>
      <c r="AL5" s="269"/>
      <c r="AM5" s="269"/>
      <c r="AN5" s="269"/>
      <c r="AO5" s="269"/>
      <c r="AP5" s="264" t="s">
        <v>12</v>
      </c>
      <c r="AQ5" s="259" t="s">
        <v>5</v>
      </c>
      <c r="AR5" s="260"/>
      <c r="AS5" s="231"/>
    </row>
    <row r="6" spans="1:45" s="88" customFormat="1" ht="198" customHeight="1" x14ac:dyDescent="0.25">
      <c r="A6" s="257"/>
      <c r="B6" s="265"/>
      <c r="C6" s="256"/>
      <c r="D6" s="261" t="s">
        <v>13</v>
      </c>
      <c r="E6" s="262"/>
      <c r="F6" s="262"/>
      <c r="G6" s="262"/>
      <c r="H6" s="263"/>
      <c r="I6" s="261" t="s">
        <v>225</v>
      </c>
      <c r="J6" s="262"/>
      <c r="K6" s="262"/>
      <c r="L6" s="262"/>
      <c r="M6" s="263"/>
      <c r="N6" s="261" t="s">
        <v>226</v>
      </c>
      <c r="O6" s="262"/>
      <c r="P6" s="262"/>
      <c r="Q6" s="262"/>
      <c r="R6" s="263"/>
      <c r="S6" s="242" t="s">
        <v>15</v>
      </c>
      <c r="T6" s="243"/>
      <c r="U6" s="243"/>
      <c r="V6" s="243"/>
      <c r="W6" s="244"/>
      <c r="X6" s="257"/>
      <c r="Y6" s="93"/>
      <c r="Z6" s="93"/>
      <c r="AA6" s="93"/>
      <c r="AB6" s="265"/>
      <c r="AC6" s="259"/>
      <c r="AD6" s="256"/>
      <c r="AE6" s="261" t="s">
        <v>13</v>
      </c>
      <c r="AF6" s="262"/>
      <c r="AG6" s="262"/>
      <c r="AH6" s="262"/>
      <c r="AI6" s="263"/>
      <c r="AJ6" s="95"/>
      <c r="AK6" s="262" t="s">
        <v>15</v>
      </c>
      <c r="AL6" s="262"/>
      <c r="AM6" s="262"/>
      <c r="AN6" s="262"/>
      <c r="AO6" s="263"/>
      <c r="AP6" s="257"/>
      <c r="AQ6" s="259"/>
      <c r="AR6" s="260"/>
      <c r="AS6" s="231"/>
    </row>
    <row r="7" spans="1:45" s="88" customFormat="1" ht="207" customHeight="1" x14ac:dyDescent="0.25">
      <c r="A7" s="257"/>
      <c r="B7" s="264"/>
      <c r="C7" s="257"/>
      <c r="D7" s="93" t="s">
        <v>17</v>
      </c>
      <c r="E7" s="93" t="s">
        <v>18</v>
      </c>
      <c r="F7" s="93" t="s">
        <v>19</v>
      </c>
      <c r="G7" s="93" t="s">
        <v>20</v>
      </c>
      <c r="H7" s="93" t="s">
        <v>21</v>
      </c>
      <c r="I7" s="96" t="s">
        <v>17</v>
      </c>
      <c r="J7" s="93" t="s">
        <v>18</v>
      </c>
      <c r="K7" s="96" t="s">
        <v>19</v>
      </c>
      <c r="L7" s="93" t="s">
        <v>22</v>
      </c>
      <c r="M7" s="93" t="s">
        <v>21</v>
      </c>
      <c r="N7" s="93" t="s">
        <v>17</v>
      </c>
      <c r="O7" s="93" t="s">
        <v>18</v>
      </c>
      <c r="P7" s="93" t="s">
        <v>19</v>
      </c>
      <c r="Q7" s="93" t="s">
        <v>22</v>
      </c>
      <c r="R7" s="93" t="s">
        <v>21</v>
      </c>
      <c r="S7" s="93" t="s">
        <v>17</v>
      </c>
      <c r="T7" s="96" t="s">
        <v>18</v>
      </c>
      <c r="U7" s="93" t="s">
        <v>19</v>
      </c>
      <c r="V7" s="96" t="s">
        <v>20</v>
      </c>
      <c r="W7" s="93" t="s">
        <v>21</v>
      </c>
      <c r="X7" s="257"/>
      <c r="Y7" s="93" t="s">
        <v>13</v>
      </c>
      <c r="Z7" s="93" t="s">
        <v>16</v>
      </c>
      <c r="AA7" s="93" t="s">
        <v>14</v>
      </c>
      <c r="AB7" s="264"/>
      <c r="AC7" s="259"/>
      <c r="AD7" s="257"/>
      <c r="AE7" s="93" t="s">
        <v>17</v>
      </c>
      <c r="AF7" s="93" t="s">
        <v>18</v>
      </c>
      <c r="AG7" s="93" t="s">
        <v>19</v>
      </c>
      <c r="AH7" s="93" t="s">
        <v>20</v>
      </c>
      <c r="AI7" s="96" t="s">
        <v>21</v>
      </c>
      <c r="AJ7" s="383" t="s">
        <v>227</v>
      </c>
      <c r="AK7" s="96" t="s">
        <v>17</v>
      </c>
      <c r="AL7" s="93" t="s">
        <v>18</v>
      </c>
      <c r="AM7" s="96" t="s">
        <v>19</v>
      </c>
      <c r="AN7" s="93" t="s">
        <v>20</v>
      </c>
      <c r="AO7" s="96" t="s">
        <v>21</v>
      </c>
      <c r="AP7" s="257"/>
      <c r="AQ7" s="94" t="s">
        <v>13</v>
      </c>
      <c r="AR7" s="93" t="s">
        <v>16</v>
      </c>
      <c r="AS7" s="232"/>
    </row>
    <row r="8" spans="1:45" s="88" customFormat="1" x14ac:dyDescent="0.25">
      <c r="A8" s="97">
        <v>1</v>
      </c>
      <c r="B8" s="97">
        <v>2</v>
      </c>
      <c r="C8" s="97">
        <v>3</v>
      </c>
      <c r="D8" s="97">
        <v>4</v>
      </c>
      <c r="E8" s="97">
        <v>5</v>
      </c>
      <c r="F8" s="97">
        <v>6</v>
      </c>
      <c r="G8" s="97">
        <v>7</v>
      </c>
      <c r="H8" s="97">
        <v>8</v>
      </c>
      <c r="I8" s="97">
        <v>9</v>
      </c>
      <c r="J8" s="97">
        <v>10</v>
      </c>
      <c r="K8" s="97">
        <v>11</v>
      </c>
      <c r="L8" s="97">
        <v>12</v>
      </c>
      <c r="M8" s="97">
        <v>13</v>
      </c>
      <c r="N8" s="97">
        <v>14</v>
      </c>
      <c r="O8" s="97">
        <v>15</v>
      </c>
      <c r="P8" s="97">
        <v>16</v>
      </c>
      <c r="Q8" s="97">
        <v>17</v>
      </c>
      <c r="R8" s="97">
        <v>18</v>
      </c>
      <c r="S8" s="97">
        <v>19</v>
      </c>
      <c r="T8" s="97">
        <v>20</v>
      </c>
      <c r="U8" s="97">
        <v>21</v>
      </c>
      <c r="V8" s="97">
        <v>22</v>
      </c>
      <c r="W8" s="97">
        <v>23</v>
      </c>
      <c r="X8" s="97">
        <v>24</v>
      </c>
      <c r="Y8" s="97">
        <v>25</v>
      </c>
      <c r="Z8" s="97">
        <v>26</v>
      </c>
      <c r="AA8" s="97">
        <v>27</v>
      </c>
      <c r="AB8" s="97">
        <v>28</v>
      </c>
      <c r="AC8" s="97">
        <v>29</v>
      </c>
      <c r="AD8" s="97">
        <v>30</v>
      </c>
      <c r="AE8" s="97">
        <v>31</v>
      </c>
      <c r="AF8" s="97">
        <v>32</v>
      </c>
      <c r="AG8" s="97">
        <v>33</v>
      </c>
      <c r="AH8" s="97">
        <v>34</v>
      </c>
      <c r="AI8" s="97">
        <v>35</v>
      </c>
      <c r="AJ8" s="97">
        <v>36</v>
      </c>
      <c r="AK8" s="97">
        <v>37</v>
      </c>
      <c r="AL8" s="97">
        <v>38</v>
      </c>
      <c r="AM8" s="97">
        <v>39</v>
      </c>
      <c r="AN8" s="97">
        <v>40</v>
      </c>
      <c r="AO8" s="97">
        <v>41</v>
      </c>
      <c r="AP8" s="97">
        <v>42</v>
      </c>
      <c r="AQ8" s="97">
        <v>43</v>
      </c>
      <c r="AR8" s="97">
        <v>44</v>
      </c>
      <c r="AS8" s="97">
        <v>45</v>
      </c>
    </row>
    <row r="9" spans="1:45" s="88" customFormat="1" ht="78.75" x14ac:dyDescent="0.25">
      <c r="A9" s="19" t="s">
        <v>24</v>
      </c>
      <c r="B9" s="20" t="s">
        <v>25</v>
      </c>
      <c r="C9" s="20" t="s">
        <v>26</v>
      </c>
      <c r="D9" s="97"/>
      <c r="E9" s="20" t="s">
        <v>27</v>
      </c>
      <c r="F9" s="20" t="s">
        <v>28</v>
      </c>
      <c r="G9" s="20" t="s">
        <v>29</v>
      </c>
      <c r="H9" s="20" t="s">
        <v>30</v>
      </c>
      <c r="I9" s="97"/>
      <c r="J9" s="380" t="s">
        <v>218</v>
      </c>
      <c r="K9" s="380" t="s">
        <v>219</v>
      </c>
      <c r="L9" s="380" t="s">
        <v>220</v>
      </c>
      <c r="M9" s="380" t="s">
        <v>221</v>
      </c>
      <c r="N9" s="97"/>
      <c r="O9" s="380" t="s">
        <v>218</v>
      </c>
      <c r="P9" s="380" t="s">
        <v>219</v>
      </c>
      <c r="Q9" s="380" t="s">
        <v>220</v>
      </c>
      <c r="R9" s="380" t="s">
        <v>221</v>
      </c>
      <c r="S9" s="97"/>
      <c r="T9" s="97"/>
      <c r="U9" s="97"/>
      <c r="V9" s="97"/>
      <c r="W9" s="97"/>
      <c r="X9" s="224" t="s">
        <v>207</v>
      </c>
      <c r="Y9" s="224" t="s">
        <v>208</v>
      </c>
      <c r="Z9" s="224" t="s">
        <v>209</v>
      </c>
      <c r="AA9" s="224" t="s">
        <v>210</v>
      </c>
      <c r="AB9" s="226" t="s">
        <v>216</v>
      </c>
      <c r="AC9" s="20" t="s">
        <v>214</v>
      </c>
      <c r="AD9" s="20" t="s">
        <v>215</v>
      </c>
      <c r="AE9" s="225"/>
      <c r="AF9" s="20" t="s">
        <v>27</v>
      </c>
      <c r="AG9" s="20" t="s">
        <v>28</v>
      </c>
      <c r="AH9" s="20" t="s">
        <v>29</v>
      </c>
      <c r="AI9" s="20" t="s">
        <v>30</v>
      </c>
      <c r="AJ9" s="380" t="s">
        <v>221</v>
      </c>
      <c r="AK9" s="97"/>
      <c r="AL9" s="97"/>
      <c r="AM9" s="97"/>
      <c r="AN9" s="97"/>
      <c r="AO9" s="97"/>
      <c r="AP9" s="224" t="s">
        <v>211</v>
      </c>
      <c r="AQ9" s="224" t="s">
        <v>212</v>
      </c>
      <c r="AR9" s="224" t="s">
        <v>213</v>
      </c>
      <c r="AS9" s="226" t="s">
        <v>217</v>
      </c>
    </row>
    <row r="10" spans="1:45" s="98" customFormat="1" ht="120" x14ac:dyDescent="0.25">
      <c r="A10" s="99" t="s">
        <v>55</v>
      </c>
      <c r="B10" s="100">
        <v>42082093.579999998</v>
      </c>
      <c r="C10" s="100">
        <v>10000000</v>
      </c>
      <c r="D10" s="101"/>
      <c r="E10" s="102"/>
      <c r="F10" s="102"/>
      <c r="G10" s="102"/>
      <c r="H10" s="102"/>
      <c r="I10" s="100">
        <v>10000000</v>
      </c>
      <c r="J10" s="103">
        <v>45694</v>
      </c>
      <c r="K10" s="104">
        <v>225</v>
      </c>
      <c r="L10" s="105" t="s">
        <v>56</v>
      </c>
      <c r="M10" s="106">
        <v>10000000</v>
      </c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0">
        <v>35846849.030000001</v>
      </c>
      <c r="Y10" s="107"/>
      <c r="Z10" s="107"/>
      <c r="AA10" s="100">
        <v>10000000</v>
      </c>
      <c r="AB10" s="100"/>
      <c r="AC10" s="108">
        <v>35846849.030000001</v>
      </c>
      <c r="AD10" s="100">
        <v>10000000</v>
      </c>
      <c r="AE10" s="109">
        <v>10000000</v>
      </c>
      <c r="AF10" s="103">
        <v>45271</v>
      </c>
      <c r="AG10" s="100" t="s">
        <v>57</v>
      </c>
      <c r="AH10" s="100" t="s">
        <v>58</v>
      </c>
      <c r="AI10" s="100" t="s">
        <v>59</v>
      </c>
      <c r="AJ10" s="107"/>
      <c r="AK10" s="107"/>
      <c r="AL10" s="107"/>
      <c r="AM10" s="107"/>
      <c r="AN10" s="107"/>
      <c r="AO10" s="107"/>
      <c r="AP10" s="100">
        <v>10000000</v>
      </c>
      <c r="AQ10" s="100">
        <v>10000000</v>
      </c>
      <c r="AR10" s="102"/>
      <c r="AS10" s="102"/>
    </row>
    <row r="11" spans="1:45" s="61" customFormat="1" ht="90" x14ac:dyDescent="0.25">
      <c r="A11" s="110" t="s">
        <v>60</v>
      </c>
      <c r="B11" s="100">
        <v>224158990.94999999</v>
      </c>
      <c r="C11" s="100">
        <v>154412347.94999999</v>
      </c>
      <c r="D11" s="111"/>
      <c r="E11" s="112"/>
      <c r="F11" s="112"/>
      <c r="G11" s="112"/>
      <c r="H11" s="112"/>
      <c r="I11" s="100">
        <v>154412347.94999999</v>
      </c>
      <c r="J11" s="103">
        <v>45716</v>
      </c>
      <c r="K11" s="113" t="s">
        <v>61</v>
      </c>
      <c r="L11" s="105" t="s">
        <v>62</v>
      </c>
      <c r="M11" s="106">
        <v>154412347.94999999</v>
      </c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00">
        <v>74362369.840000004</v>
      </c>
      <c r="Y11" s="114"/>
      <c r="Z11" s="114"/>
      <c r="AA11" s="100">
        <v>74362369.840000004</v>
      </c>
      <c r="AB11" s="100"/>
      <c r="AC11" s="108">
        <v>154412347.94999999</v>
      </c>
      <c r="AD11" s="114"/>
      <c r="AE11" s="115"/>
      <c r="AF11" s="115"/>
      <c r="AG11" s="115"/>
      <c r="AH11" s="115"/>
      <c r="AI11" s="115"/>
      <c r="AJ11" s="100"/>
      <c r="AK11" s="100" t="s">
        <v>63</v>
      </c>
      <c r="AL11" s="103">
        <v>45853</v>
      </c>
      <c r="AM11" s="116">
        <v>11</v>
      </c>
      <c r="AN11" s="100" t="s">
        <v>64</v>
      </c>
      <c r="AO11" s="117" t="s">
        <v>63</v>
      </c>
      <c r="AP11" s="100">
        <v>74362369.840000004</v>
      </c>
      <c r="AQ11" s="114"/>
      <c r="AR11" s="100">
        <v>74362369.840000004</v>
      </c>
      <c r="AS11" s="24">
        <v>74362369.840000004</v>
      </c>
    </row>
    <row r="12" spans="1:45" ht="90" x14ac:dyDescent="0.25">
      <c r="A12" s="110" t="s">
        <v>65</v>
      </c>
      <c r="B12" s="100">
        <v>1667192</v>
      </c>
      <c r="C12" s="100">
        <v>1667192</v>
      </c>
      <c r="D12" s="118"/>
      <c r="E12" s="119"/>
      <c r="F12" s="119"/>
      <c r="G12" s="119"/>
      <c r="H12" s="119"/>
      <c r="I12" s="120"/>
      <c r="J12" s="121"/>
      <c r="K12" s="122"/>
      <c r="L12" s="122"/>
      <c r="M12" s="122"/>
      <c r="N12" s="118">
        <v>1667192</v>
      </c>
      <c r="O12" s="123">
        <v>45730</v>
      </c>
      <c r="P12" s="121" t="s">
        <v>66</v>
      </c>
      <c r="Q12" s="121" t="s">
        <v>50</v>
      </c>
      <c r="R12" s="124">
        <v>1667192</v>
      </c>
      <c r="S12" s="124">
        <v>1667192</v>
      </c>
      <c r="T12" s="123">
        <v>45320</v>
      </c>
      <c r="U12" s="125">
        <v>11</v>
      </c>
      <c r="V12" s="121" t="s">
        <v>67</v>
      </c>
      <c r="W12" s="121" t="s">
        <v>68</v>
      </c>
      <c r="X12" s="100">
        <v>1667192</v>
      </c>
      <c r="Y12" s="120"/>
      <c r="Z12" s="100">
        <v>1667192</v>
      </c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7"/>
      <c r="AL12" s="126"/>
      <c r="AM12" s="126"/>
      <c r="AN12" s="126"/>
      <c r="AO12" s="126"/>
      <c r="AP12" s="126"/>
      <c r="AQ12" s="126"/>
      <c r="AR12" s="126"/>
      <c r="AS12" s="119"/>
    </row>
  </sheetData>
  <mergeCells count="26">
    <mergeCell ref="A2:B2"/>
    <mergeCell ref="A4:A7"/>
    <mergeCell ref="B4:B7"/>
    <mergeCell ref="C4:R4"/>
    <mergeCell ref="S4:W5"/>
    <mergeCell ref="X4:AA4"/>
    <mergeCell ref="AB4:AB7"/>
    <mergeCell ref="AC4:AC7"/>
    <mergeCell ref="AD4:AJ4"/>
    <mergeCell ref="AK4:AO5"/>
    <mergeCell ref="AP4:AR4"/>
    <mergeCell ref="AS4:AS7"/>
    <mergeCell ref="C5:C7"/>
    <mergeCell ref="D5:R5"/>
    <mergeCell ref="X5:X7"/>
    <mergeCell ref="Y5:AA5"/>
    <mergeCell ref="AD5:AD7"/>
    <mergeCell ref="AE5:AJ5"/>
    <mergeCell ref="AP5:AP7"/>
    <mergeCell ref="AQ5:AR6"/>
    <mergeCell ref="D6:H6"/>
    <mergeCell ref="I6:M6"/>
    <mergeCell ref="N6:R6"/>
    <mergeCell ref="S6:W6"/>
    <mergeCell ref="AE6:AI6"/>
    <mergeCell ref="AK6:AO6"/>
  </mergeCells>
  <pageMargins left="0.70866141732283472" right="0.70866141732283472" top="0.55118110236220474" bottom="0.43307086614173229" header="0.31496062992125984" footer="0.31496062992125984"/>
  <pageSetup paperSize="8" scale="33" fitToWidth="2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61"/>
  <sheetViews>
    <sheetView topLeftCell="AG1" zoomScale="70" zoomScaleNormal="70" workbookViewId="0">
      <pane ySplit="7" topLeftCell="A8" activePane="bottomLeft" state="frozen"/>
      <selection pane="bottomLeft" activeCell="AJ7" sqref="AJ7"/>
    </sheetView>
  </sheetViews>
  <sheetFormatPr defaultRowHeight="15" x14ac:dyDescent="0.25"/>
  <cols>
    <col min="1" max="1" width="44.7109375" customWidth="1"/>
    <col min="2" max="2" width="14.42578125" customWidth="1"/>
    <col min="3" max="3" width="14.28515625" customWidth="1"/>
    <col min="4" max="4" width="12.5703125" customWidth="1"/>
    <col min="7" max="7" width="12.140625" customWidth="1"/>
    <col min="8" max="8" width="11.5703125" customWidth="1"/>
    <col min="9" max="9" width="14.28515625" customWidth="1"/>
    <col min="12" max="12" width="12.5703125" customWidth="1"/>
    <col min="13" max="13" width="13.85546875" customWidth="1"/>
    <col min="16" max="16" width="12.42578125" customWidth="1"/>
    <col min="17" max="17" width="20.42578125" customWidth="1"/>
    <col min="18" max="18" width="18.140625" customWidth="1"/>
    <col min="22" max="22" width="12.140625" customWidth="1"/>
    <col min="24" max="24" width="12.7109375" customWidth="1"/>
    <col min="25" max="25" width="11.42578125" customWidth="1"/>
    <col min="26" max="26" width="13.85546875" customWidth="1"/>
    <col min="27" max="27" width="16.85546875" customWidth="1"/>
    <col min="28" max="28" width="11.7109375" customWidth="1"/>
    <col min="29" max="29" width="13" customWidth="1"/>
    <col min="30" max="31" width="13.28515625" customWidth="1"/>
    <col min="33" max="33" width="14.28515625" bestFit="1" customWidth="1"/>
    <col min="34" max="34" width="14.85546875" customWidth="1"/>
    <col min="35" max="35" width="13.85546875" customWidth="1"/>
    <col min="36" max="40" width="15.5703125" customWidth="1"/>
    <col min="44" max="44" width="12.42578125" customWidth="1"/>
    <col min="46" max="46" width="13.42578125" customWidth="1"/>
    <col min="47" max="47" width="13.28515625" customWidth="1"/>
    <col min="48" max="48" width="14" customWidth="1"/>
    <col min="49" max="49" width="11.42578125" customWidth="1"/>
  </cols>
  <sheetData>
    <row r="1" spans="1:52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8.75" x14ac:dyDescent="0.25">
      <c r="A2" s="252" t="s">
        <v>69</v>
      </c>
      <c r="B2" s="25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6"/>
      <c r="Y2" s="6"/>
      <c r="Z2" s="6"/>
      <c r="AK2" s="89"/>
      <c r="AL2" s="89"/>
      <c r="AM2" s="89"/>
      <c r="AN2" s="89"/>
    </row>
    <row r="3" spans="1:52" ht="18.75" x14ac:dyDescent="0.3">
      <c r="A3" s="7" t="s">
        <v>70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30"/>
      <c r="AU3" s="130"/>
      <c r="AV3" s="130"/>
      <c r="AW3" s="129"/>
      <c r="AX3" s="2"/>
      <c r="AY3" s="2"/>
      <c r="AZ3" s="2"/>
    </row>
    <row r="4" spans="1:52" ht="31.5" customHeight="1" x14ac:dyDescent="0.25">
      <c r="A4" s="233" t="s">
        <v>2</v>
      </c>
      <c r="B4" s="233" t="s">
        <v>3</v>
      </c>
      <c r="C4" s="236" t="s">
        <v>4</v>
      </c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8"/>
      <c r="S4" s="249" t="s">
        <v>5</v>
      </c>
      <c r="T4" s="246"/>
      <c r="U4" s="246"/>
      <c r="V4" s="246"/>
      <c r="W4" s="253"/>
      <c r="X4" s="236" t="s">
        <v>6</v>
      </c>
      <c r="Y4" s="237"/>
      <c r="Z4" s="237"/>
      <c r="AA4" s="238"/>
      <c r="AB4" s="233" t="s">
        <v>7</v>
      </c>
      <c r="AC4" s="233" t="s">
        <v>8</v>
      </c>
      <c r="AD4" s="249" t="s">
        <v>9</v>
      </c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9" t="s">
        <v>15</v>
      </c>
      <c r="AP4" s="246"/>
      <c r="AQ4" s="246"/>
      <c r="AR4" s="246"/>
      <c r="AS4" s="246"/>
      <c r="AT4" s="227" t="s">
        <v>10</v>
      </c>
      <c r="AU4" s="228"/>
      <c r="AV4" s="229"/>
      <c r="AW4" s="230" t="s">
        <v>11</v>
      </c>
      <c r="AX4" s="2"/>
      <c r="AY4" s="2"/>
      <c r="AZ4" s="2"/>
    </row>
    <row r="5" spans="1:52" ht="15.75" x14ac:dyDescent="0.25">
      <c r="A5" s="234"/>
      <c r="B5" s="247"/>
      <c r="C5" s="233" t="s">
        <v>12</v>
      </c>
      <c r="D5" s="236" t="s">
        <v>5</v>
      </c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8"/>
      <c r="S5" s="306"/>
      <c r="T5" s="245"/>
      <c r="U5" s="245"/>
      <c r="V5" s="245"/>
      <c r="W5" s="251"/>
      <c r="X5" s="233" t="s">
        <v>12</v>
      </c>
      <c r="Y5" s="249" t="s">
        <v>5</v>
      </c>
      <c r="Z5" s="246"/>
      <c r="AA5" s="253"/>
      <c r="AB5" s="235"/>
      <c r="AC5" s="247"/>
      <c r="AD5" s="233" t="s">
        <v>12</v>
      </c>
      <c r="AE5" s="236" t="s">
        <v>5</v>
      </c>
      <c r="AF5" s="237"/>
      <c r="AG5" s="237"/>
      <c r="AH5" s="237"/>
      <c r="AI5" s="237"/>
      <c r="AJ5" s="237"/>
      <c r="AK5" s="237"/>
      <c r="AL5" s="237"/>
      <c r="AM5" s="237"/>
      <c r="AN5" s="238"/>
      <c r="AO5" s="307"/>
      <c r="AP5" s="235"/>
      <c r="AQ5" s="235"/>
      <c r="AR5" s="235"/>
      <c r="AS5" s="235"/>
      <c r="AT5" s="239" t="s">
        <v>12</v>
      </c>
      <c r="AU5" s="240" t="s">
        <v>5</v>
      </c>
      <c r="AV5" s="241"/>
      <c r="AW5" s="231"/>
      <c r="AX5" s="2"/>
      <c r="AY5" s="2"/>
      <c r="AZ5" s="2"/>
    </row>
    <row r="6" spans="1:52" ht="168.75" customHeight="1" x14ac:dyDescent="0.25">
      <c r="A6" s="234"/>
      <c r="B6" s="247"/>
      <c r="C6" s="234"/>
      <c r="D6" s="236" t="s">
        <v>13</v>
      </c>
      <c r="E6" s="237"/>
      <c r="F6" s="237"/>
      <c r="G6" s="237"/>
      <c r="H6" s="238"/>
      <c r="I6" s="377" t="s">
        <v>228</v>
      </c>
      <c r="J6" s="378"/>
      <c r="K6" s="378"/>
      <c r="L6" s="378"/>
      <c r="M6" s="379"/>
      <c r="N6" s="377" t="s">
        <v>229</v>
      </c>
      <c r="O6" s="378"/>
      <c r="P6" s="378"/>
      <c r="Q6" s="378"/>
      <c r="R6" s="379"/>
      <c r="S6" s="242" t="s">
        <v>15</v>
      </c>
      <c r="T6" s="243"/>
      <c r="U6" s="243"/>
      <c r="V6" s="243"/>
      <c r="W6" s="244"/>
      <c r="X6" s="234"/>
      <c r="Y6" s="306"/>
      <c r="Z6" s="245"/>
      <c r="AA6" s="251"/>
      <c r="AB6" s="235"/>
      <c r="AC6" s="247"/>
      <c r="AD6" s="234"/>
      <c r="AE6" s="236" t="s">
        <v>13</v>
      </c>
      <c r="AF6" s="237"/>
      <c r="AG6" s="237"/>
      <c r="AH6" s="237"/>
      <c r="AI6" s="238"/>
      <c r="AJ6" s="377" t="s">
        <v>232</v>
      </c>
      <c r="AK6" s="378"/>
      <c r="AL6" s="378"/>
      <c r="AM6" s="378"/>
      <c r="AN6" s="378"/>
      <c r="AO6" s="306"/>
      <c r="AP6" s="245"/>
      <c r="AQ6" s="245"/>
      <c r="AR6" s="245"/>
      <c r="AS6" s="245"/>
      <c r="AT6" s="234"/>
      <c r="AU6" s="306"/>
      <c r="AV6" s="251"/>
      <c r="AW6" s="231"/>
      <c r="AX6" s="2"/>
      <c r="AY6" s="2"/>
      <c r="AZ6" s="2"/>
    </row>
    <row r="7" spans="1:52" ht="99" customHeight="1" x14ac:dyDescent="0.25">
      <c r="A7" s="234"/>
      <c r="B7" s="248"/>
      <c r="C7" s="234"/>
      <c r="D7" s="11" t="s">
        <v>17</v>
      </c>
      <c r="E7" s="11" t="s">
        <v>18</v>
      </c>
      <c r="F7" s="11" t="s">
        <v>19</v>
      </c>
      <c r="G7" s="11" t="s">
        <v>20</v>
      </c>
      <c r="H7" s="11" t="s">
        <v>21</v>
      </c>
      <c r="I7" s="11" t="s">
        <v>17</v>
      </c>
      <c r="J7" s="11" t="s">
        <v>18</v>
      </c>
      <c r="K7" s="11" t="s">
        <v>19</v>
      </c>
      <c r="L7" s="11" t="s">
        <v>22</v>
      </c>
      <c r="M7" s="11" t="s">
        <v>21</v>
      </c>
      <c r="N7" s="11" t="s">
        <v>17</v>
      </c>
      <c r="O7" s="11" t="s">
        <v>18</v>
      </c>
      <c r="P7" s="11" t="s">
        <v>19</v>
      </c>
      <c r="Q7" s="11" t="s">
        <v>22</v>
      </c>
      <c r="R7" s="11" t="s">
        <v>21</v>
      </c>
      <c r="S7" s="11" t="s">
        <v>17</v>
      </c>
      <c r="T7" s="11" t="s">
        <v>18</v>
      </c>
      <c r="U7" s="11" t="s">
        <v>19</v>
      </c>
      <c r="V7" s="11" t="s">
        <v>20</v>
      </c>
      <c r="W7" s="11" t="s">
        <v>21</v>
      </c>
      <c r="X7" s="234"/>
      <c r="Y7" s="11" t="s">
        <v>13</v>
      </c>
      <c r="Z7" s="11" t="s">
        <v>16</v>
      </c>
      <c r="AA7" s="11" t="s">
        <v>14</v>
      </c>
      <c r="AB7" s="248"/>
      <c r="AC7" s="248"/>
      <c r="AD7" s="234"/>
      <c r="AE7" s="11" t="s">
        <v>17</v>
      </c>
      <c r="AF7" s="11" t="s">
        <v>18</v>
      </c>
      <c r="AG7" s="11" t="s">
        <v>19</v>
      </c>
      <c r="AH7" s="11" t="s">
        <v>20</v>
      </c>
      <c r="AI7" s="11" t="s">
        <v>21</v>
      </c>
      <c r="AJ7" s="11" t="s">
        <v>17</v>
      </c>
      <c r="AK7" s="11" t="s">
        <v>18</v>
      </c>
      <c r="AL7" s="11" t="s">
        <v>19</v>
      </c>
      <c r="AM7" s="11" t="s">
        <v>20</v>
      </c>
      <c r="AN7" s="13" t="s">
        <v>21</v>
      </c>
      <c r="AO7" s="11" t="s">
        <v>17</v>
      </c>
      <c r="AP7" s="11" t="s">
        <v>18</v>
      </c>
      <c r="AQ7" s="11" t="s">
        <v>19</v>
      </c>
      <c r="AR7" s="11" t="s">
        <v>20</v>
      </c>
      <c r="AS7" s="11" t="s">
        <v>21</v>
      </c>
      <c r="AT7" s="234"/>
      <c r="AU7" s="11" t="s">
        <v>13</v>
      </c>
      <c r="AV7" s="11" t="s">
        <v>16</v>
      </c>
      <c r="AW7" s="232"/>
      <c r="AX7" s="2"/>
      <c r="AY7" s="2"/>
      <c r="AZ7" s="2"/>
    </row>
    <row r="8" spans="1:52" ht="15.75" x14ac:dyDescent="0.25">
      <c r="A8" s="14">
        <v>1</v>
      </c>
      <c r="B8" s="18">
        <v>2</v>
      </c>
      <c r="C8" s="18">
        <v>3</v>
      </c>
      <c r="D8" s="18">
        <v>4</v>
      </c>
      <c r="E8" s="14">
        <v>5</v>
      </c>
      <c r="F8" s="14">
        <v>6</v>
      </c>
      <c r="G8" s="14">
        <v>7</v>
      </c>
      <c r="H8" s="14">
        <v>8</v>
      </c>
      <c r="I8" s="18">
        <v>9</v>
      </c>
      <c r="J8" s="14">
        <v>10</v>
      </c>
      <c r="K8" s="18">
        <v>11</v>
      </c>
      <c r="L8" s="18">
        <v>12</v>
      </c>
      <c r="M8" s="18">
        <v>13</v>
      </c>
      <c r="N8" s="14">
        <v>14</v>
      </c>
      <c r="O8" s="14">
        <v>15</v>
      </c>
      <c r="P8" s="14">
        <v>16</v>
      </c>
      <c r="Q8" s="14">
        <v>17</v>
      </c>
      <c r="R8" s="14">
        <v>18</v>
      </c>
      <c r="S8" s="14">
        <v>19</v>
      </c>
      <c r="T8" s="14">
        <v>20</v>
      </c>
      <c r="U8" s="14">
        <v>21</v>
      </c>
      <c r="V8" s="14">
        <v>22</v>
      </c>
      <c r="W8" s="14">
        <v>23</v>
      </c>
      <c r="X8" s="14">
        <v>24</v>
      </c>
      <c r="Y8" s="14">
        <v>25</v>
      </c>
      <c r="Z8" s="14">
        <v>26</v>
      </c>
      <c r="AA8" s="14">
        <v>27</v>
      </c>
      <c r="AB8" s="14">
        <v>28</v>
      </c>
      <c r="AC8" s="14">
        <v>29</v>
      </c>
      <c r="AD8" s="18">
        <v>30</v>
      </c>
      <c r="AE8" s="18">
        <v>31</v>
      </c>
      <c r="AF8" s="14">
        <v>32</v>
      </c>
      <c r="AG8" s="14">
        <v>33</v>
      </c>
      <c r="AH8" s="14">
        <v>34</v>
      </c>
      <c r="AI8" s="14">
        <v>35</v>
      </c>
      <c r="AJ8" s="14">
        <v>36</v>
      </c>
      <c r="AK8" s="14">
        <v>37</v>
      </c>
      <c r="AL8" s="14">
        <v>38</v>
      </c>
      <c r="AM8" s="14">
        <v>39</v>
      </c>
      <c r="AN8" s="14">
        <v>40</v>
      </c>
      <c r="AO8" s="14">
        <v>41</v>
      </c>
      <c r="AP8" s="14">
        <v>42</v>
      </c>
      <c r="AQ8" s="14">
        <v>43</v>
      </c>
      <c r="AR8" s="14">
        <v>44</v>
      </c>
      <c r="AS8" s="14">
        <v>45</v>
      </c>
      <c r="AT8" s="14">
        <v>46</v>
      </c>
      <c r="AU8" s="14">
        <v>47</v>
      </c>
      <c r="AV8" s="14">
        <v>48</v>
      </c>
      <c r="AW8" s="14">
        <v>49</v>
      </c>
      <c r="AX8" s="2"/>
      <c r="AY8" s="2"/>
      <c r="AZ8" s="2"/>
    </row>
    <row r="9" spans="1:52" s="168" customFormat="1" ht="78.75" x14ac:dyDescent="0.25">
      <c r="A9" s="19" t="s">
        <v>24</v>
      </c>
      <c r="B9" s="20" t="s">
        <v>25</v>
      </c>
      <c r="C9" s="20" t="s">
        <v>26</v>
      </c>
      <c r="D9" s="18"/>
      <c r="E9" s="20" t="s">
        <v>27</v>
      </c>
      <c r="F9" s="20" t="s">
        <v>28</v>
      </c>
      <c r="G9" s="20" t="s">
        <v>29</v>
      </c>
      <c r="H9" s="20" t="s">
        <v>30</v>
      </c>
      <c r="I9" s="18"/>
      <c r="J9" s="380" t="s">
        <v>218</v>
      </c>
      <c r="K9" s="380" t="s">
        <v>219</v>
      </c>
      <c r="L9" s="380" t="s">
        <v>220</v>
      </c>
      <c r="M9" s="380" t="s">
        <v>221</v>
      </c>
      <c r="N9" s="381"/>
      <c r="O9" s="380" t="s">
        <v>218</v>
      </c>
      <c r="P9" s="380" t="s">
        <v>219</v>
      </c>
      <c r="Q9" s="380" t="s">
        <v>220</v>
      </c>
      <c r="R9" s="380" t="s">
        <v>221</v>
      </c>
      <c r="S9" s="14"/>
      <c r="T9" s="14"/>
      <c r="U9" s="14"/>
      <c r="V9" s="14"/>
      <c r="W9" s="14"/>
      <c r="X9" s="224" t="s">
        <v>207</v>
      </c>
      <c r="Y9" s="224" t="s">
        <v>208</v>
      </c>
      <c r="Z9" s="224" t="s">
        <v>209</v>
      </c>
      <c r="AA9" s="224" t="s">
        <v>210</v>
      </c>
      <c r="AB9" s="226" t="s">
        <v>216</v>
      </c>
      <c r="AC9" s="20" t="s">
        <v>214</v>
      </c>
      <c r="AD9" s="20" t="s">
        <v>215</v>
      </c>
      <c r="AE9" s="18"/>
      <c r="AF9" s="20" t="s">
        <v>27</v>
      </c>
      <c r="AG9" s="20" t="s">
        <v>28</v>
      </c>
      <c r="AH9" s="20" t="s">
        <v>29</v>
      </c>
      <c r="AI9" s="20" t="s">
        <v>30</v>
      </c>
      <c r="AJ9" s="14"/>
      <c r="AK9" s="380" t="s">
        <v>218</v>
      </c>
      <c r="AL9" s="380" t="s">
        <v>219</v>
      </c>
      <c r="AM9" s="380" t="s">
        <v>220</v>
      </c>
      <c r="AN9" s="380" t="s">
        <v>221</v>
      </c>
      <c r="AO9" s="14"/>
      <c r="AP9" s="14"/>
      <c r="AQ9" s="14"/>
      <c r="AR9" s="14"/>
      <c r="AS9" s="14"/>
      <c r="AT9" s="224" t="s">
        <v>211</v>
      </c>
      <c r="AU9" s="224" t="s">
        <v>212</v>
      </c>
      <c r="AV9" s="224" t="s">
        <v>213</v>
      </c>
      <c r="AW9" s="226" t="s">
        <v>217</v>
      </c>
      <c r="AX9" s="88"/>
      <c r="AY9" s="88"/>
      <c r="AZ9" s="88"/>
    </row>
    <row r="10" spans="1:52" ht="112.5" x14ac:dyDescent="0.25">
      <c r="A10" s="131" t="s">
        <v>71</v>
      </c>
      <c r="B10" s="24">
        <v>381000000</v>
      </c>
      <c r="C10" s="24">
        <v>381000000</v>
      </c>
      <c r="D10" s="24"/>
      <c r="E10" s="132"/>
      <c r="F10" s="132"/>
      <c r="G10" s="132"/>
      <c r="H10" s="132"/>
      <c r="I10" s="24">
        <v>381000000</v>
      </c>
      <c r="J10" s="27">
        <v>45831</v>
      </c>
      <c r="K10" s="59" t="s">
        <v>72</v>
      </c>
      <c r="L10" s="24" t="s">
        <v>73</v>
      </c>
      <c r="M10" s="24">
        <v>381000000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24">
        <v>381000000</v>
      </c>
      <c r="Y10" s="40"/>
      <c r="Z10" s="40"/>
      <c r="AA10" s="24">
        <v>381000000</v>
      </c>
      <c r="AB10" s="24"/>
      <c r="AC10" s="24">
        <v>381000000</v>
      </c>
      <c r="AD10" s="133">
        <v>381000000</v>
      </c>
      <c r="AE10" s="24"/>
      <c r="AF10" s="27"/>
      <c r="AG10" s="24"/>
      <c r="AH10" s="24"/>
      <c r="AI10" s="24"/>
      <c r="AJ10" s="60" t="s">
        <v>74</v>
      </c>
      <c r="AK10" s="134" t="s">
        <v>75</v>
      </c>
      <c r="AL10" s="134">
        <v>218</v>
      </c>
      <c r="AM10" s="60" t="s">
        <v>76</v>
      </c>
      <c r="AN10" s="135" t="s">
        <v>74</v>
      </c>
      <c r="AO10" s="40"/>
      <c r="AP10" s="40"/>
      <c r="AQ10" s="40"/>
      <c r="AR10" s="40"/>
      <c r="AS10" s="40"/>
      <c r="AT10" s="60" t="s">
        <v>74</v>
      </c>
      <c r="AU10" s="60"/>
      <c r="AV10" s="60" t="s">
        <v>74</v>
      </c>
      <c r="AW10" s="132"/>
      <c r="AX10" s="42"/>
      <c r="AY10" s="42"/>
      <c r="AZ10" s="42"/>
    </row>
    <row r="11" spans="1:52" ht="99" customHeight="1" x14ac:dyDescent="0.25">
      <c r="A11" s="136" t="s">
        <v>77</v>
      </c>
      <c r="B11" s="24">
        <v>232700000</v>
      </c>
      <c r="C11" s="24">
        <v>232700000</v>
      </c>
      <c r="D11" s="47"/>
      <c r="E11" s="112"/>
      <c r="F11" s="112"/>
      <c r="G11" s="112"/>
      <c r="H11" s="112"/>
      <c r="I11" s="24">
        <v>232700000</v>
      </c>
      <c r="J11" s="27">
        <v>45866</v>
      </c>
      <c r="K11" s="24" t="s">
        <v>78</v>
      </c>
      <c r="L11" s="24" t="s">
        <v>36</v>
      </c>
      <c r="M11" s="24">
        <v>232700000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24">
        <v>232700000</v>
      </c>
      <c r="Y11" s="137"/>
      <c r="Z11" s="137"/>
      <c r="AA11" s="24">
        <v>232700000</v>
      </c>
      <c r="AB11" s="24"/>
      <c r="AC11" s="24">
        <v>232700000</v>
      </c>
      <c r="AD11" s="58">
        <v>232700000</v>
      </c>
      <c r="AE11" s="24">
        <v>232700000</v>
      </c>
      <c r="AF11" s="138">
        <v>45925</v>
      </c>
      <c r="AG11" s="139" t="s">
        <v>79</v>
      </c>
      <c r="AH11" s="139" t="s">
        <v>80</v>
      </c>
      <c r="AI11" s="24">
        <v>232700000</v>
      </c>
      <c r="AJ11" s="24"/>
      <c r="AK11" s="24"/>
      <c r="AL11" s="52"/>
      <c r="AM11" s="52"/>
      <c r="AN11" s="52"/>
      <c r="AO11" s="24"/>
      <c r="AP11" s="27"/>
      <c r="AQ11" s="59"/>
      <c r="AR11" s="24"/>
      <c r="AS11" s="24"/>
      <c r="AT11" s="24">
        <v>232700000</v>
      </c>
      <c r="AU11" s="24">
        <v>232700000</v>
      </c>
      <c r="AV11" s="24"/>
      <c r="AW11" s="24"/>
      <c r="AX11" s="61"/>
      <c r="AY11" s="61"/>
      <c r="AZ11" s="61"/>
    </row>
    <row r="12" spans="1:52" ht="105" x14ac:dyDescent="0.25">
      <c r="A12" s="136" t="s">
        <v>81</v>
      </c>
      <c r="B12" s="24">
        <v>1600000000</v>
      </c>
      <c r="C12" s="24">
        <v>1600000000</v>
      </c>
      <c r="D12" s="62"/>
      <c r="E12" s="119"/>
      <c r="F12" s="119"/>
      <c r="G12" s="119"/>
      <c r="H12" s="119"/>
      <c r="I12" s="24">
        <v>1600000000</v>
      </c>
      <c r="J12" s="71">
        <v>45939</v>
      </c>
      <c r="K12" s="62" t="s">
        <v>82</v>
      </c>
      <c r="L12" s="24" t="s">
        <v>36</v>
      </c>
      <c r="M12" s="24">
        <v>1600000000</v>
      </c>
      <c r="N12" s="62"/>
      <c r="O12" s="71"/>
      <c r="P12" s="67"/>
      <c r="Q12" s="67"/>
      <c r="R12" s="70"/>
      <c r="S12" s="70"/>
      <c r="T12" s="71"/>
      <c r="U12" s="72"/>
      <c r="V12" s="67"/>
      <c r="W12" s="67"/>
      <c r="X12" s="24">
        <v>1600000000</v>
      </c>
      <c r="Y12" s="140"/>
      <c r="Z12" s="24"/>
      <c r="AA12" s="24">
        <v>1600000000</v>
      </c>
      <c r="AB12" s="141"/>
      <c r="AC12" s="24">
        <v>1600000000</v>
      </c>
      <c r="AD12" s="24">
        <v>1600000000</v>
      </c>
      <c r="AE12" s="142"/>
      <c r="AF12" s="142"/>
      <c r="AG12" s="142"/>
      <c r="AH12" s="142"/>
      <c r="AI12" s="142"/>
      <c r="AJ12" s="24">
        <v>1600000000</v>
      </c>
      <c r="AK12" s="143">
        <v>45944</v>
      </c>
      <c r="AL12" s="144">
        <v>34</v>
      </c>
      <c r="AM12" s="145" t="s">
        <v>83</v>
      </c>
      <c r="AN12" s="24">
        <v>1600000000</v>
      </c>
      <c r="AO12" s="146"/>
      <c r="AP12" s="141"/>
      <c r="AQ12" s="141"/>
      <c r="AR12" s="141"/>
      <c r="AS12" s="141"/>
      <c r="AT12" s="24">
        <v>1600000000</v>
      </c>
      <c r="AU12" s="24">
        <v>1600000000</v>
      </c>
      <c r="AV12" s="141"/>
      <c r="AW12" s="119"/>
      <c r="AX12" s="6"/>
      <c r="AY12" s="6"/>
      <c r="AZ12" s="6"/>
    </row>
    <row r="13" spans="1:52" ht="45.75" x14ac:dyDescent="0.25">
      <c r="A13" s="286" t="s">
        <v>84</v>
      </c>
      <c r="B13" s="276">
        <v>110185650</v>
      </c>
      <c r="C13" s="276">
        <v>110185650</v>
      </c>
      <c r="D13" s="273"/>
      <c r="E13" s="273"/>
      <c r="F13" s="273"/>
      <c r="G13" s="273"/>
      <c r="H13" s="273"/>
      <c r="I13" s="276">
        <v>110185650</v>
      </c>
      <c r="J13" s="302">
        <v>46003</v>
      </c>
      <c r="K13" s="295" t="s">
        <v>85</v>
      </c>
      <c r="L13" s="298" t="s">
        <v>86</v>
      </c>
      <c r="M13" s="276">
        <v>110185650</v>
      </c>
      <c r="N13" s="273"/>
      <c r="O13" s="273"/>
      <c r="P13" s="273"/>
      <c r="Q13" s="273"/>
      <c r="R13" s="273"/>
      <c r="S13" s="273"/>
      <c r="T13" s="273"/>
      <c r="U13" s="273"/>
      <c r="V13" s="273"/>
      <c r="W13" s="294"/>
      <c r="X13" s="281">
        <v>80483137.829999998</v>
      </c>
      <c r="Y13" s="294"/>
      <c r="Z13" s="294"/>
      <c r="AA13" s="281">
        <v>80483137.829999998</v>
      </c>
      <c r="AB13" s="294"/>
      <c r="AC13" s="281">
        <v>110185650</v>
      </c>
      <c r="AD13" s="281">
        <v>110185650</v>
      </c>
      <c r="AE13" s="281">
        <v>110185650</v>
      </c>
      <c r="AF13" s="149">
        <v>45937</v>
      </c>
      <c r="AG13" s="65" t="s">
        <v>87</v>
      </c>
      <c r="AH13" s="150" t="s">
        <v>88</v>
      </c>
      <c r="AI13" s="151" t="s">
        <v>89</v>
      </c>
      <c r="AJ13" s="152"/>
      <c r="AK13" s="152"/>
      <c r="AL13" s="152"/>
      <c r="AM13" s="152"/>
      <c r="AN13" s="152"/>
      <c r="AO13" s="119"/>
      <c r="AP13" s="119"/>
      <c r="AQ13" s="119"/>
      <c r="AR13" s="119"/>
      <c r="AS13" s="119"/>
      <c r="AT13" s="282">
        <v>80483137.829999998</v>
      </c>
      <c r="AU13" s="153">
        <v>80483138.829999998</v>
      </c>
      <c r="AV13" s="273"/>
      <c r="AW13" s="154"/>
      <c r="AX13" s="6"/>
      <c r="AY13" s="6"/>
      <c r="AZ13" s="6"/>
    </row>
    <row r="14" spans="1:52" ht="45.75" x14ac:dyDescent="0.25">
      <c r="A14" s="305"/>
      <c r="B14" s="301"/>
      <c r="C14" s="301"/>
      <c r="D14" s="285"/>
      <c r="E14" s="285"/>
      <c r="F14" s="285"/>
      <c r="G14" s="285"/>
      <c r="H14" s="285"/>
      <c r="I14" s="301"/>
      <c r="J14" s="303"/>
      <c r="K14" s="296"/>
      <c r="L14" s="299"/>
      <c r="M14" s="301"/>
      <c r="N14" s="285"/>
      <c r="O14" s="285"/>
      <c r="P14" s="285"/>
      <c r="Q14" s="285"/>
      <c r="R14" s="285"/>
      <c r="S14" s="285"/>
      <c r="T14" s="285"/>
      <c r="U14" s="285"/>
      <c r="V14" s="285"/>
      <c r="W14" s="294"/>
      <c r="X14" s="281"/>
      <c r="Y14" s="294"/>
      <c r="Z14" s="294"/>
      <c r="AA14" s="281"/>
      <c r="AB14" s="294"/>
      <c r="AC14" s="281"/>
      <c r="AD14" s="281"/>
      <c r="AE14" s="281"/>
      <c r="AF14" s="149">
        <v>45947</v>
      </c>
      <c r="AG14" s="65" t="s">
        <v>90</v>
      </c>
      <c r="AH14" s="150" t="s">
        <v>91</v>
      </c>
      <c r="AI14" s="151" t="s">
        <v>92</v>
      </c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283"/>
      <c r="AU14" s="153"/>
      <c r="AV14" s="285"/>
      <c r="AW14" s="154"/>
      <c r="AX14" s="6"/>
      <c r="AY14" s="6"/>
      <c r="AZ14" s="6"/>
    </row>
    <row r="15" spans="1:52" ht="57" x14ac:dyDescent="0.25">
      <c r="A15" s="287"/>
      <c r="B15" s="277"/>
      <c r="C15" s="277"/>
      <c r="D15" s="274"/>
      <c r="E15" s="274"/>
      <c r="F15" s="274"/>
      <c r="G15" s="274"/>
      <c r="H15" s="274"/>
      <c r="I15" s="277"/>
      <c r="J15" s="304"/>
      <c r="K15" s="297"/>
      <c r="L15" s="300"/>
      <c r="M15" s="277"/>
      <c r="N15" s="274"/>
      <c r="O15" s="274"/>
      <c r="P15" s="274"/>
      <c r="Q15" s="274"/>
      <c r="R15" s="274"/>
      <c r="S15" s="274"/>
      <c r="T15" s="274"/>
      <c r="U15" s="274"/>
      <c r="V15" s="274"/>
      <c r="W15" s="294"/>
      <c r="X15" s="281"/>
      <c r="Y15" s="294"/>
      <c r="Z15" s="294"/>
      <c r="AA15" s="281"/>
      <c r="AB15" s="294"/>
      <c r="AC15" s="281"/>
      <c r="AD15" s="281"/>
      <c r="AE15" s="281"/>
      <c r="AF15" s="149">
        <v>45954</v>
      </c>
      <c r="AG15" s="65" t="s">
        <v>93</v>
      </c>
      <c r="AH15" s="150" t="s">
        <v>94</v>
      </c>
      <c r="AI15" s="151" t="s">
        <v>95</v>
      </c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284"/>
      <c r="AU15" s="153"/>
      <c r="AV15" s="274"/>
      <c r="AW15" s="154"/>
      <c r="AX15" s="6"/>
      <c r="AY15" s="6"/>
      <c r="AZ15" s="6"/>
    </row>
    <row r="16" spans="1:52" ht="111.75" customHeight="1" x14ac:dyDescent="0.25">
      <c r="A16" s="160" t="s">
        <v>96</v>
      </c>
      <c r="B16" s="24">
        <v>120000000</v>
      </c>
      <c r="C16" s="24">
        <v>120000000</v>
      </c>
      <c r="D16" s="119"/>
      <c r="E16" s="119"/>
      <c r="F16" s="119"/>
      <c r="G16" s="119"/>
      <c r="H16" s="119"/>
      <c r="I16" s="24">
        <v>120000000</v>
      </c>
      <c r="J16" s="63">
        <v>45982</v>
      </c>
      <c r="K16" s="83" t="s">
        <v>97</v>
      </c>
      <c r="L16" s="65" t="s">
        <v>73</v>
      </c>
      <c r="M16" s="24">
        <v>120000000</v>
      </c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24">
        <v>120000000</v>
      </c>
      <c r="Y16" s="119"/>
      <c r="Z16" s="119"/>
      <c r="AA16" s="24">
        <v>120000000</v>
      </c>
      <c r="AB16" s="119"/>
      <c r="AC16" s="34">
        <v>120000000</v>
      </c>
      <c r="AD16" s="24">
        <v>120000000</v>
      </c>
      <c r="AE16" s="142"/>
      <c r="AF16" s="142"/>
      <c r="AG16" s="142"/>
      <c r="AH16" s="142"/>
      <c r="AI16" s="142"/>
      <c r="AJ16" s="24">
        <v>120000000</v>
      </c>
      <c r="AK16" s="161">
        <v>45995</v>
      </c>
      <c r="AL16" s="1">
        <v>77</v>
      </c>
      <c r="AM16" s="150" t="s">
        <v>76</v>
      </c>
      <c r="AN16" s="34">
        <v>120000000</v>
      </c>
      <c r="AO16" s="119"/>
      <c r="AP16" s="119"/>
      <c r="AQ16" s="119"/>
      <c r="AR16" s="119"/>
      <c r="AS16" s="119"/>
      <c r="AT16" s="34">
        <v>120000000</v>
      </c>
      <c r="AU16" s="119"/>
      <c r="AV16" s="34">
        <v>120000000</v>
      </c>
      <c r="AW16" s="154"/>
      <c r="AX16" s="6"/>
      <c r="AY16" s="6"/>
      <c r="AZ16" s="6"/>
    </row>
    <row r="17" spans="1:52" ht="51" customHeight="1" x14ac:dyDescent="0.25">
      <c r="A17" s="286" t="s">
        <v>98</v>
      </c>
      <c r="B17" s="275">
        <v>176323766.63</v>
      </c>
      <c r="C17" s="275">
        <v>176323766.63</v>
      </c>
      <c r="D17" s="273"/>
      <c r="E17" s="273"/>
      <c r="F17" s="273"/>
      <c r="G17" s="273"/>
      <c r="H17" s="273"/>
      <c r="I17" s="275">
        <v>176323766.63</v>
      </c>
      <c r="J17" s="288">
        <v>45825</v>
      </c>
      <c r="K17" s="290">
        <v>280</v>
      </c>
      <c r="L17" s="292" t="s">
        <v>73</v>
      </c>
      <c r="M17" s="275">
        <v>176323766.63</v>
      </c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6">
        <v>176323766.63</v>
      </c>
      <c r="Y17" s="273"/>
      <c r="Z17" s="273"/>
      <c r="AA17" s="275">
        <v>176323766.63</v>
      </c>
      <c r="AB17" s="279"/>
      <c r="AC17" s="272">
        <v>176323766.63</v>
      </c>
      <c r="AD17" s="272">
        <v>176323766.63</v>
      </c>
      <c r="AE17" s="272">
        <v>176323766.63</v>
      </c>
      <c r="AF17" s="163">
        <v>45894</v>
      </c>
      <c r="AG17" s="164" t="s">
        <v>99</v>
      </c>
      <c r="AH17" s="165" t="s">
        <v>100</v>
      </c>
      <c r="AI17" s="64" t="s">
        <v>101</v>
      </c>
      <c r="AJ17" s="273"/>
      <c r="AK17" s="119"/>
      <c r="AL17" s="119"/>
      <c r="AM17" s="119"/>
      <c r="AN17" s="119"/>
      <c r="AO17" s="119"/>
      <c r="AP17" s="119"/>
      <c r="AQ17" s="119"/>
      <c r="AR17" s="119"/>
      <c r="AS17" s="119"/>
      <c r="AT17" s="275">
        <v>176323766.63</v>
      </c>
      <c r="AU17" s="64" t="s">
        <v>101</v>
      </c>
      <c r="AV17" s="119"/>
      <c r="AW17" s="154"/>
      <c r="AX17" s="6"/>
      <c r="AY17" s="6"/>
      <c r="AZ17" s="6"/>
    </row>
    <row r="18" spans="1:52" ht="45.75" x14ac:dyDescent="0.25">
      <c r="A18" s="287"/>
      <c r="B18" s="278"/>
      <c r="C18" s="278"/>
      <c r="D18" s="274"/>
      <c r="E18" s="274"/>
      <c r="F18" s="274"/>
      <c r="G18" s="274"/>
      <c r="H18" s="274"/>
      <c r="I18" s="278"/>
      <c r="J18" s="289"/>
      <c r="K18" s="291"/>
      <c r="L18" s="293"/>
      <c r="M18" s="278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7"/>
      <c r="Y18" s="274"/>
      <c r="Z18" s="274"/>
      <c r="AA18" s="278"/>
      <c r="AB18" s="280"/>
      <c r="AC18" s="272"/>
      <c r="AD18" s="272"/>
      <c r="AE18" s="272"/>
      <c r="AF18" s="163">
        <v>45909</v>
      </c>
      <c r="AG18" s="164" t="s">
        <v>102</v>
      </c>
      <c r="AH18" s="165" t="s">
        <v>100</v>
      </c>
      <c r="AI18" s="64" t="s">
        <v>103</v>
      </c>
      <c r="AJ18" s="274"/>
      <c r="AK18" s="119"/>
      <c r="AL18" s="119"/>
      <c r="AM18" s="119"/>
      <c r="AN18" s="119"/>
      <c r="AO18" s="119"/>
      <c r="AP18" s="119"/>
      <c r="AQ18" s="119"/>
      <c r="AR18" s="119"/>
      <c r="AS18" s="119"/>
      <c r="AT18" s="272"/>
      <c r="AU18" s="87" t="s">
        <v>103</v>
      </c>
      <c r="AV18" s="119"/>
      <c r="AW18" s="154"/>
      <c r="AX18" s="6"/>
      <c r="AY18" s="6"/>
      <c r="AZ18" s="6"/>
    </row>
    <row r="19" spans="1:52" ht="105" x14ac:dyDescent="0.25">
      <c r="A19" s="160" t="s">
        <v>104</v>
      </c>
      <c r="B19" s="24">
        <v>450000000</v>
      </c>
      <c r="C19" s="24">
        <v>450000000</v>
      </c>
      <c r="D19" s="24">
        <v>450000000</v>
      </c>
      <c r="E19" s="63">
        <v>45754</v>
      </c>
      <c r="F19" s="83" t="s">
        <v>105</v>
      </c>
      <c r="G19" s="65" t="s">
        <v>106</v>
      </c>
      <c r="H19" s="24">
        <v>450000000</v>
      </c>
      <c r="I19" s="24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24">
        <v>365102440.48000002</v>
      </c>
      <c r="Y19" s="24">
        <v>365102440.48000002</v>
      </c>
      <c r="Z19" s="119"/>
      <c r="AA19" s="142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54"/>
      <c r="AX19" s="6"/>
      <c r="AY19" s="6"/>
      <c r="AZ19" s="6"/>
    </row>
    <row r="20" spans="1:52" ht="15.7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15.7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15.7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15.7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15.7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15.75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15.7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15.7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15.75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15.7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15.75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15.75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15.7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15.7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.75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15.7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15.7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15.7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15.7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15.7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.7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15.7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15.7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15.7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15.7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15.7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15.7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ht="15.7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ht="15.7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15.7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15.7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15.7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15.7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15.7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15.7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15.7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15.7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15.7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15.7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15.75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15.75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15.7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</sheetData>
  <mergeCells count="92">
    <mergeCell ref="A2:B2"/>
    <mergeCell ref="A4:A7"/>
    <mergeCell ref="B4:B7"/>
    <mergeCell ref="C4:R4"/>
    <mergeCell ref="S4:W5"/>
    <mergeCell ref="X4:AA4"/>
    <mergeCell ref="AB4:AB7"/>
    <mergeCell ref="AC4:AC7"/>
    <mergeCell ref="AD4:AN4"/>
    <mergeCell ref="AO4:AS6"/>
    <mergeCell ref="AT4:AV4"/>
    <mergeCell ref="AW4:AW7"/>
    <mergeCell ref="C5:C7"/>
    <mergeCell ref="D5:R5"/>
    <mergeCell ref="X5:X7"/>
    <mergeCell ref="Y5:AA6"/>
    <mergeCell ref="AD5:AD7"/>
    <mergeCell ref="AE5:AN5"/>
    <mergeCell ref="AT5:AT7"/>
    <mergeCell ref="AU5:AV6"/>
    <mergeCell ref="D6:H6"/>
    <mergeCell ref="I6:M6"/>
    <mergeCell ref="N6:R6"/>
    <mergeCell ref="S6:W6"/>
    <mergeCell ref="AE6:AI6"/>
    <mergeCell ref="AJ6:AN6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V13:V15"/>
    <mergeCell ref="W13:W15"/>
    <mergeCell ref="X13:X15"/>
    <mergeCell ref="Y13:Y15"/>
    <mergeCell ref="Z13:Z15"/>
    <mergeCell ref="AA13:AA15"/>
    <mergeCell ref="AB13:AB15"/>
    <mergeCell ref="AC13:AC15"/>
    <mergeCell ref="AD13:AD15"/>
    <mergeCell ref="AE13:AE15"/>
    <mergeCell ref="AT13:AT15"/>
    <mergeCell ref="AV13:AV15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AJ17:AJ18"/>
    <mergeCell ref="AT17:AT18"/>
  </mergeCells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127"/>
  <sheetViews>
    <sheetView tabSelected="1" zoomScale="70" zoomScaleNormal="70" workbookViewId="0">
      <pane xSplit="1" ySplit="9" topLeftCell="AG10" activePane="bottomRight" state="frozen"/>
      <selection pane="topRight"/>
      <selection pane="bottomLeft"/>
      <selection pane="bottomRight" activeCell="AN6" sqref="AN6:AR6"/>
    </sheetView>
  </sheetViews>
  <sheetFormatPr defaultRowHeight="15" x14ac:dyDescent="0.25"/>
  <cols>
    <col min="1" max="1" width="44.42578125" customWidth="1"/>
    <col min="2" max="2" width="16" customWidth="1"/>
    <col min="3" max="3" width="12.7109375" customWidth="1"/>
    <col min="5" max="5" width="10.28515625" customWidth="1"/>
    <col min="7" max="7" width="13.140625" customWidth="1"/>
    <col min="13" max="13" width="21.5703125" customWidth="1"/>
    <col min="14" max="14" width="13.5703125" customWidth="1"/>
    <col min="16" max="16" width="11.5703125" customWidth="1"/>
    <col min="17" max="17" width="13.140625" customWidth="1"/>
    <col min="18" max="18" width="22.7109375" customWidth="1"/>
    <col min="19" max="19" width="10.5703125" bestFit="1" customWidth="1"/>
    <col min="22" max="22" width="20.5703125" customWidth="1"/>
    <col min="23" max="24" width="13" customWidth="1"/>
    <col min="25" max="25" width="13.140625" customWidth="1"/>
    <col min="26" max="26" width="11.42578125" customWidth="1"/>
    <col min="27" max="27" width="14.140625" customWidth="1"/>
    <col min="28" max="28" width="16.7109375" customWidth="1"/>
    <col min="29" max="29" width="13.42578125" customWidth="1"/>
    <col min="30" max="30" width="10.42578125" customWidth="1"/>
    <col min="31" max="31" width="11.28515625" customWidth="1"/>
    <col min="32" max="32" width="12.140625" customWidth="1"/>
    <col min="42" max="42" width="14.28515625" customWidth="1"/>
    <col min="43" max="43" width="19.5703125" customWidth="1"/>
    <col min="44" max="44" width="26" customWidth="1"/>
  </cols>
  <sheetData>
    <row r="1" spans="1:56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ht="18.75" x14ac:dyDescent="0.25">
      <c r="A2" s="167" t="s">
        <v>107</v>
      </c>
      <c r="B2" s="167"/>
      <c r="C2" s="90"/>
      <c r="D2" s="90"/>
      <c r="E2" s="90"/>
      <c r="F2" s="9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6"/>
      <c r="Z2" s="6"/>
      <c r="AA2" s="6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</row>
    <row r="3" spans="1:56" ht="18.75" x14ac:dyDescent="0.3">
      <c r="A3" s="169" t="s">
        <v>108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30"/>
      <c r="AY3" s="130"/>
      <c r="AZ3" s="130"/>
      <c r="BA3" s="129"/>
      <c r="BB3" s="2"/>
      <c r="BC3" s="2"/>
      <c r="BD3" s="2"/>
    </row>
    <row r="4" spans="1:56" ht="33" customHeight="1" x14ac:dyDescent="0.25">
      <c r="A4" s="233" t="s">
        <v>109</v>
      </c>
      <c r="B4" s="233" t="s">
        <v>3</v>
      </c>
      <c r="C4" s="236" t="s">
        <v>4</v>
      </c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8"/>
      <c r="S4" s="249" t="s">
        <v>5</v>
      </c>
      <c r="T4" s="246"/>
      <c r="U4" s="246"/>
      <c r="V4" s="246"/>
      <c r="W4" s="246"/>
      <c r="X4" s="246"/>
      <c r="Y4" s="236" t="s">
        <v>6</v>
      </c>
      <c r="Z4" s="237"/>
      <c r="AA4" s="237"/>
      <c r="AB4" s="238"/>
      <c r="AC4" s="307" t="s">
        <v>7</v>
      </c>
      <c r="AD4" s="235"/>
      <c r="AE4" s="235"/>
      <c r="AF4" s="235"/>
      <c r="AG4" s="234" t="s">
        <v>8</v>
      </c>
      <c r="AH4" s="236" t="s">
        <v>9</v>
      </c>
      <c r="AI4" s="237"/>
      <c r="AJ4" s="237"/>
      <c r="AK4" s="237"/>
      <c r="AL4" s="237"/>
      <c r="AM4" s="237"/>
      <c r="AN4" s="237"/>
      <c r="AO4" s="237"/>
      <c r="AP4" s="237"/>
      <c r="AQ4" s="237"/>
      <c r="AR4" s="238"/>
      <c r="AS4" s="249" t="s">
        <v>15</v>
      </c>
      <c r="AT4" s="246"/>
      <c r="AU4" s="246"/>
      <c r="AV4" s="246"/>
      <c r="AW4" s="250"/>
      <c r="AX4" s="227" t="s">
        <v>10</v>
      </c>
      <c r="AY4" s="228"/>
      <c r="AZ4" s="229"/>
      <c r="BA4" s="230" t="s">
        <v>11</v>
      </c>
      <c r="BB4" s="2"/>
      <c r="BC4" s="2"/>
      <c r="BD4" s="2"/>
    </row>
    <row r="5" spans="1:56" ht="15.75" x14ac:dyDescent="0.25">
      <c r="A5" s="234"/>
      <c r="B5" s="247"/>
      <c r="C5" s="233" t="s">
        <v>12</v>
      </c>
      <c r="D5" s="236" t="s">
        <v>5</v>
      </c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8"/>
      <c r="S5" s="307"/>
      <c r="T5" s="235"/>
      <c r="U5" s="235"/>
      <c r="V5" s="235"/>
      <c r="W5" s="235"/>
      <c r="X5" s="235"/>
      <c r="Y5" s="233" t="s">
        <v>12</v>
      </c>
      <c r="Z5" s="249" t="s">
        <v>5</v>
      </c>
      <c r="AA5" s="246"/>
      <c r="AB5" s="253"/>
      <c r="AC5" s="249" t="s">
        <v>12</v>
      </c>
      <c r="AD5" s="234" t="s">
        <v>5</v>
      </c>
      <c r="AE5" s="234"/>
      <c r="AF5" s="234"/>
      <c r="AG5" s="234"/>
      <c r="AH5" s="233" t="s">
        <v>12</v>
      </c>
      <c r="AI5" s="236" t="s">
        <v>5</v>
      </c>
      <c r="AJ5" s="237"/>
      <c r="AK5" s="237"/>
      <c r="AL5" s="237"/>
      <c r="AM5" s="237"/>
      <c r="AN5" s="237"/>
      <c r="AO5" s="237"/>
      <c r="AP5" s="237"/>
      <c r="AQ5" s="237"/>
      <c r="AR5" s="238"/>
      <c r="AS5" s="235"/>
      <c r="AT5" s="235"/>
      <c r="AU5" s="235"/>
      <c r="AV5" s="235"/>
      <c r="AW5" s="376"/>
      <c r="AX5" s="239" t="s">
        <v>12</v>
      </c>
      <c r="AY5" s="240" t="s">
        <v>5</v>
      </c>
      <c r="AZ5" s="241"/>
      <c r="BA5" s="231"/>
      <c r="BB5" s="2"/>
      <c r="BC5" s="2"/>
      <c r="BD5" s="2"/>
    </row>
    <row r="6" spans="1:56" ht="149.25" customHeight="1" x14ac:dyDescent="0.25">
      <c r="A6" s="234"/>
      <c r="B6" s="247"/>
      <c r="C6" s="234"/>
      <c r="D6" s="236" t="s">
        <v>13</v>
      </c>
      <c r="E6" s="237"/>
      <c r="F6" s="237"/>
      <c r="G6" s="237"/>
      <c r="H6" s="238"/>
      <c r="I6" s="377" t="s">
        <v>230</v>
      </c>
      <c r="J6" s="378"/>
      <c r="K6" s="378"/>
      <c r="L6" s="378"/>
      <c r="M6" s="379"/>
      <c r="N6" s="377" t="s">
        <v>231</v>
      </c>
      <c r="O6" s="378"/>
      <c r="P6" s="378"/>
      <c r="Q6" s="378"/>
      <c r="R6" s="379"/>
      <c r="S6" s="242" t="s">
        <v>15</v>
      </c>
      <c r="T6" s="243"/>
      <c r="U6" s="243"/>
      <c r="V6" s="243"/>
      <c r="W6" s="243"/>
      <c r="X6" s="244"/>
      <c r="Y6" s="234"/>
      <c r="Z6" s="306"/>
      <c r="AA6" s="245"/>
      <c r="AB6" s="251"/>
      <c r="AC6" s="307"/>
      <c r="AD6" s="234" t="s">
        <v>110</v>
      </c>
      <c r="AE6" s="234"/>
      <c r="AF6" s="234"/>
      <c r="AG6" s="234"/>
      <c r="AH6" s="234"/>
      <c r="AI6" s="236" t="s">
        <v>13</v>
      </c>
      <c r="AJ6" s="237"/>
      <c r="AK6" s="237"/>
      <c r="AL6" s="237"/>
      <c r="AM6" s="238"/>
      <c r="AN6" s="377" t="s">
        <v>233</v>
      </c>
      <c r="AO6" s="378"/>
      <c r="AP6" s="378"/>
      <c r="AQ6" s="378"/>
      <c r="AR6" s="379"/>
      <c r="AS6" s="306"/>
      <c r="AT6" s="245"/>
      <c r="AU6" s="245"/>
      <c r="AV6" s="245"/>
      <c r="AW6" s="251"/>
      <c r="AX6" s="234"/>
      <c r="AY6" s="306"/>
      <c r="AZ6" s="251"/>
      <c r="BA6" s="231"/>
      <c r="BB6" s="2"/>
      <c r="BC6" s="2"/>
      <c r="BD6" s="2"/>
    </row>
    <row r="7" spans="1:56" ht="126" x14ac:dyDescent="0.25">
      <c r="A7" s="234"/>
      <c r="B7" s="248"/>
      <c r="C7" s="234"/>
      <c r="D7" s="11" t="s">
        <v>17</v>
      </c>
      <c r="E7" s="11" t="s">
        <v>18</v>
      </c>
      <c r="F7" s="11" t="s">
        <v>19</v>
      </c>
      <c r="G7" s="11" t="s">
        <v>20</v>
      </c>
      <c r="H7" s="11" t="s">
        <v>21</v>
      </c>
      <c r="I7" s="11" t="s">
        <v>17</v>
      </c>
      <c r="J7" s="11" t="s">
        <v>18</v>
      </c>
      <c r="K7" s="11" t="s">
        <v>19</v>
      </c>
      <c r="L7" s="11" t="s">
        <v>22</v>
      </c>
      <c r="M7" s="11" t="s">
        <v>21</v>
      </c>
      <c r="N7" s="11" t="s">
        <v>17</v>
      </c>
      <c r="O7" s="11" t="s">
        <v>18</v>
      </c>
      <c r="P7" s="11" t="s">
        <v>19</v>
      </c>
      <c r="Q7" s="11" t="s">
        <v>22</v>
      </c>
      <c r="R7" s="11" t="s">
        <v>21</v>
      </c>
      <c r="S7" s="11" t="s">
        <v>17</v>
      </c>
      <c r="T7" s="11" t="s">
        <v>18</v>
      </c>
      <c r="U7" s="11" t="s">
        <v>19</v>
      </c>
      <c r="V7" s="11" t="s">
        <v>20</v>
      </c>
      <c r="W7" s="11" t="s">
        <v>21</v>
      </c>
      <c r="X7" s="11" t="s">
        <v>111</v>
      </c>
      <c r="Y7" s="234"/>
      <c r="Z7" s="11" t="s">
        <v>13</v>
      </c>
      <c r="AA7" s="11" t="s">
        <v>16</v>
      </c>
      <c r="AB7" s="11" t="s">
        <v>14</v>
      </c>
      <c r="AC7" s="306"/>
      <c r="AD7" s="12" t="s">
        <v>112</v>
      </c>
      <c r="AE7" s="12" t="s">
        <v>113</v>
      </c>
      <c r="AF7" s="12" t="s">
        <v>114</v>
      </c>
      <c r="AG7" s="234"/>
      <c r="AH7" s="234"/>
      <c r="AI7" s="11" t="s">
        <v>17</v>
      </c>
      <c r="AJ7" s="11" t="s">
        <v>18</v>
      </c>
      <c r="AK7" s="11" t="s">
        <v>19</v>
      </c>
      <c r="AL7" s="11" t="s">
        <v>20</v>
      </c>
      <c r="AM7" s="11" t="s">
        <v>21</v>
      </c>
      <c r="AN7" s="11" t="s">
        <v>17</v>
      </c>
      <c r="AO7" s="11" t="s">
        <v>18</v>
      </c>
      <c r="AP7" s="11" t="s">
        <v>19</v>
      </c>
      <c r="AQ7" s="11" t="s">
        <v>20</v>
      </c>
      <c r="AR7" s="11" t="s">
        <v>21</v>
      </c>
      <c r="AS7" s="11" t="s">
        <v>17</v>
      </c>
      <c r="AT7" s="11" t="s">
        <v>18</v>
      </c>
      <c r="AU7" s="11" t="s">
        <v>19</v>
      </c>
      <c r="AV7" s="11" t="s">
        <v>20</v>
      </c>
      <c r="AW7" s="11" t="s">
        <v>21</v>
      </c>
      <c r="AX7" s="234"/>
      <c r="AY7" s="11" t="s">
        <v>13</v>
      </c>
      <c r="AZ7" s="11" t="s">
        <v>16</v>
      </c>
      <c r="BA7" s="232"/>
      <c r="BB7" s="2"/>
      <c r="BC7" s="2"/>
      <c r="BD7" s="2"/>
    </row>
    <row r="8" spans="1:56" ht="34.5" customHeight="1" x14ac:dyDescent="0.25">
      <c r="A8" s="170">
        <v>1</v>
      </c>
      <c r="B8" s="170">
        <v>2</v>
      </c>
      <c r="C8" s="170">
        <v>3</v>
      </c>
      <c r="D8" s="14">
        <v>4</v>
      </c>
      <c r="E8" s="14">
        <v>5</v>
      </c>
      <c r="F8" s="14">
        <v>6</v>
      </c>
      <c r="G8" s="14">
        <v>7</v>
      </c>
      <c r="H8" s="14">
        <v>8</v>
      </c>
      <c r="I8" s="14">
        <v>9</v>
      </c>
      <c r="J8" s="14">
        <v>10</v>
      </c>
      <c r="K8" s="14">
        <v>11</v>
      </c>
      <c r="L8" s="14">
        <v>12</v>
      </c>
      <c r="M8" s="14">
        <v>13</v>
      </c>
      <c r="N8" s="18">
        <v>14</v>
      </c>
      <c r="O8" s="14">
        <v>15</v>
      </c>
      <c r="P8" s="14">
        <v>16</v>
      </c>
      <c r="Q8" s="14">
        <v>17</v>
      </c>
      <c r="R8" s="14">
        <v>18</v>
      </c>
      <c r="S8" s="14">
        <v>19</v>
      </c>
      <c r="T8" s="14">
        <v>20</v>
      </c>
      <c r="U8" s="14">
        <v>21</v>
      </c>
      <c r="V8" s="14">
        <v>22</v>
      </c>
      <c r="W8" s="14">
        <v>23</v>
      </c>
      <c r="X8" s="14">
        <v>24</v>
      </c>
      <c r="Y8" s="14">
        <v>25</v>
      </c>
      <c r="Z8" s="14">
        <v>26</v>
      </c>
      <c r="AA8" s="18">
        <v>27</v>
      </c>
      <c r="AB8" s="14">
        <v>28</v>
      </c>
      <c r="AC8" s="14">
        <v>29</v>
      </c>
      <c r="AD8" s="14">
        <v>30</v>
      </c>
      <c r="AE8" s="14">
        <v>31</v>
      </c>
      <c r="AF8" s="14">
        <v>32</v>
      </c>
      <c r="AG8" s="14">
        <v>31</v>
      </c>
      <c r="AH8" s="14">
        <v>32</v>
      </c>
      <c r="AI8" s="14">
        <v>33</v>
      </c>
      <c r="AJ8" s="14">
        <v>32</v>
      </c>
      <c r="AK8" s="14">
        <v>33</v>
      </c>
      <c r="AL8" s="14">
        <v>34</v>
      </c>
      <c r="AM8" s="14">
        <v>35</v>
      </c>
      <c r="AN8" s="14">
        <v>36</v>
      </c>
      <c r="AO8" s="14">
        <v>37</v>
      </c>
      <c r="AP8" s="14">
        <v>38</v>
      </c>
      <c r="AQ8" s="14">
        <v>39</v>
      </c>
      <c r="AR8" s="14">
        <v>40</v>
      </c>
      <c r="AS8" s="14">
        <v>41</v>
      </c>
      <c r="AT8" s="14">
        <v>42</v>
      </c>
      <c r="AU8" s="14">
        <v>43</v>
      </c>
      <c r="AV8" s="14">
        <v>44</v>
      </c>
      <c r="AW8" s="14">
        <v>45</v>
      </c>
      <c r="AX8" s="14">
        <v>46</v>
      </c>
      <c r="AY8" s="14">
        <v>47</v>
      </c>
      <c r="AZ8" s="14">
        <v>48</v>
      </c>
      <c r="BA8" s="14">
        <v>49</v>
      </c>
      <c r="BB8" s="2"/>
      <c r="BC8" s="2"/>
      <c r="BD8" s="2"/>
    </row>
    <row r="9" spans="1:56" ht="61.9" customHeight="1" x14ac:dyDescent="0.25">
      <c r="A9" s="19" t="s">
        <v>115</v>
      </c>
      <c r="B9" s="20" t="s">
        <v>25</v>
      </c>
      <c r="C9" s="20" t="s">
        <v>26</v>
      </c>
      <c r="D9" s="171"/>
      <c r="E9" s="20" t="s">
        <v>27</v>
      </c>
      <c r="F9" s="20" t="s">
        <v>28</v>
      </c>
      <c r="G9" s="20" t="s">
        <v>29</v>
      </c>
      <c r="H9" s="20" t="s">
        <v>30</v>
      </c>
      <c r="I9" s="18"/>
      <c r="J9" s="380" t="s">
        <v>218</v>
      </c>
      <c r="K9" s="380" t="s">
        <v>219</v>
      </c>
      <c r="L9" s="380" t="s">
        <v>220</v>
      </c>
      <c r="M9" s="380" t="s">
        <v>221</v>
      </c>
      <c r="N9" s="18"/>
      <c r="O9" s="380" t="s">
        <v>218</v>
      </c>
      <c r="P9" s="380" t="s">
        <v>219</v>
      </c>
      <c r="Q9" s="380" t="s">
        <v>220</v>
      </c>
      <c r="R9" s="380" t="s">
        <v>221</v>
      </c>
      <c r="S9" s="18"/>
      <c r="T9" s="18"/>
      <c r="U9" s="18"/>
      <c r="V9" s="18"/>
      <c r="W9" s="18"/>
      <c r="X9" s="18"/>
      <c r="Y9" s="224" t="s">
        <v>207</v>
      </c>
      <c r="Z9" s="224" t="s">
        <v>208</v>
      </c>
      <c r="AA9" s="224" t="s">
        <v>209</v>
      </c>
      <c r="AB9" s="224" t="s">
        <v>210</v>
      </c>
      <c r="AC9" s="17"/>
      <c r="AD9" s="14"/>
      <c r="AE9" s="14"/>
      <c r="AF9" s="14"/>
      <c r="AG9" s="20" t="s">
        <v>214</v>
      </c>
      <c r="AH9" s="20" t="s">
        <v>215</v>
      </c>
      <c r="AI9" s="17"/>
      <c r="AJ9" s="17"/>
      <c r="AK9" s="14"/>
      <c r="AL9" s="14"/>
      <c r="AM9" s="14"/>
      <c r="AN9" s="14"/>
      <c r="AO9" s="380" t="s">
        <v>218</v>
      </c>
      <c r="AP9" s="380" t="s">
        <v>219</v>
      </c>
      <c r="AQ9" s="380" t="s">
        <v>220</v>
      </c>
      <c r="AR9" s="380" t="s">
        <v>221</v>
      </c>
      <c r="AS9" s="14"/>
      <c r="AT9" s="14"/>
      <c r="AU9" s="14"/>
      <c r="AV9" s="14"/>
      <c r="AW9" s="14"/>
      <c r="AX9" s="224" t="s">
        <v>211</v>
      </c>
      <c r="AY9" s="224" t="s">
        <v>212</v>
      </c>
      <c r="AZ9" s="224" t="s">
        <v>213</v>
      </c>
      <c r="BA9" s="10"/>
      <c r="BB9" s="2"/>
      <c r="BC9" s="2"/>
      <c r="BD9" s="2"/>
    </row>
    <row r="10" spans="1:56" ht="15.75" x14ac:dyDescent="0.25">
      <c r="A10" s="372" t="s">
        <v>116</v>
      </c>
      <c r="B10" s="281">
        <v>359561155</v>
      </c>
      <c r="C10" s="281">
        <v>359561155</v>
      </c>
      <c r="D10" s="355"/>
      <c r="E10" s="375"/>
      <c r="F10" s="375"/>
      <c r="G10" s="375"/>
      <c r="H10" s="375"/>
      <c r="I10" s="276"/>
      <c r="J10" s="368"/>
      <c r="K10" s="369"/>
      <c r="L10" s="276"/>
      <c r="M10" s="370"/>
      <c r="N10" s="276">
        <v>359561155</v>
      </c>
      <c r="O10" s="357">
        <v>45693</v>
      </c>
      <c r="P10" s="358" t="s">
        <v>117</v>
      </c>
      <c r="Q10" s="363" t="s">
        <v>50</v>
      </c>
      <c r="R10" s="371" t="s">
        <v>118</v>
      </c>
      <c r="S10" s="363">
        <v>354047822.14999998</v>
      </c>
      <c r="T10" s="359">
        <v>45838</v>
      </c>
      <c r="U10" s="361">
        <v>128</v>
      </c>
      <c r="V10" s="363" t="s">
        <v>119</v>
      </c>
      <c r="W10" s="363" t="s">
        <v>120</v>
      </c>
      <c r="X10" s="363"/>
      <c r="Y10" s="276">
        <v>359561155</v>
      </c>
      <c r="Z10" s="365"/>
      <c r="AA10" s="358" t="s">
        <v>118</v>
      </c>
      <c r="AB10" s="355"/>
      <c r="AC10" s="356" t="s">
        <v>120</v>
      </c>
      <c r="AD10" s="173">
        <v>45881</v>
      </c>
      <c r="AE10" s="174">
        <v>1230</v>
      </c>
      <c r="AF10" s="175">
        <v>89114672.349999994</v>
      </c>
      <c r="AG10" s="176"/>
      <c r="AH10" s="176"/>
      <c r="AI10" s="177"/>
      <c r="AJ10" s="178"/>
      <c r="AK10" s="24"/>
      <c r="AL10" s="24"/>
      <c r="AM10" s="24"/>
      <c r="AN10" s="60"/>
      <c r="AO10" s="134"/>
      <c r="AP10" s="134"/>
      <c r="AQ10" s="60"/>
      <c r="AR10" s="60"/>
      <c r="AS10" s="40"/>
      <c r="AT10" s="40"/>
      <c r="AU10" s="40"/>
      <c r="AV10" s="40"/>
      <c r="AW10" s="40"/>
      <c r="AX10" s="60"/>
      <c r="AY10" s="60"/>
      <c r="AZ10" s="60"/>
      <c r="BA10" s="132"/>
      <c r="BB10" s="42"/>
      <c r="BC10" s="42"/>
      <c r="BD10" s="42"/>
    </row>
    <row r="11" spans="1:56" ht="15.75" x14ac:dyDescent="0.25">
      <c r="A11" s="373"/>
      <c r="B11" s="281"/>
      <c r="C11" s="281"/>
      <c r="D11" s="351"/>
      <c r="E11" s="353"/>
      <c r="F11" s="353"/>
      <c r="G11" s="353"/>
      <c r="H11" s="353"/>
      <c r="I11" s="301"/>
      <c r="J11" s="340"/>
      <c r="K11" s="342"/>
      <c r="L11" s="301"/>
      <c r="M11" s="344"/>
      <c r="N11" s="301"/>
      <c r="O11" s="357"/>
      <c r="P11" s="358"/>
      <c r="Q11" s="334"/>
      <c r="R11" s="337"/>
      <c r="S11" s="334"/>
      <c r="T11" s="335"/>
      <c r="U11" s="364"/>
      <c r="V11" s="334"/>
      <c r="W11" s="334"/>
      <c r="X11" s="334"/>
      <c r="Y11" s="301"/>
      <c r="Z11" s="366"/>
      <c r="AA11" s="358"/>
      <c r="AB11" s="351"/>
      <c r="AC11" s="356"/>
      <c r="AD11" s="181">
        <v>45945</v>
      </c>
      <c r="AE11" s="182">
        <v>1618</v>
      </c>
      <c r="AF11" s="183">
        <v>118584849.98</v>
      </c>
      <c r="AG11" s="24"/>
      <c r="AH11" s="184"/>
      <c r="AI11" s="24"/>
      <c r="AJ11" s="138"/>
      <c r="AK11" s="139"/>
      <c r="AL11" s="139"/>
      <c r="AM11" s="24"/>
      <c r="AN11" s="24"/>
      <c r="AO11" s="24"/>
      <c r="AP11" s="24"/>
      <c r="AQ11" s="24"/>
      <c r="AR11" s="24"/>
      <c r="AS11" s="24"/>
      <c r="AT11" s="27"/>
      <c r="AU11" s="59"/>
      <c r="AV11" s="24"/>
      <c r="AW11" s="24"/>
      <c r="AX11" s="24"/>
      <c r="AY11" s="24"/>
      <c r="AZ11" s="24"/>
      <c r="BA11" s="24"/>
      <c r="BB11" s="61"/>
      <c r="BC11" s="61"/>
      <c r="BD11" s="61"/>
    </row>
    <row r="12" spans="1:56" ht="15.75" x14ac:dyDescent="0.25">
      <c r="A12" s="373"/>
      <c r="B12" s="281"/>
      <c r="C12" s="281"/>
      <c r="D12" s="351"/>
      <c r="E12" s="353"/>
      <c r="F12" s="353"/>
      <c r="G12" s="353"/>
      <c r="H12" s="353"/>
      <c r="I12" s="301"/>
      <c r="J12" s="340"/>
      <c r="K12" s="342"/>
      <c r="L12" s="301"/>
      <c r="M12" s="344"/>
      <c r="N12" s="301"/>
      <c r="O12" s="357"/>
      <c r="P12" s="358"/>
      <c r="Q12" s="334"/>
      <c r="R12" s="337"/>
      <c r="S12" s="334"/>
      <c r="T12" s="335"/>
      <c r="U12" s="364"/>
      <c r="V12" s="334"/>
      <c r="W12" s="334"/>
      <c r="X12" s="334"/>
      <c r="Y12" s="301"/>
      <c r="Z12" s="366"/>
      <c r="AA12" s="358"/>
      <c r="AB12" s="351"/>
      <c r="AC12" s="356"/>
      <c r="AD12" s="181">
        <v>45945</v>
      </c>
      <c r="AE12" s="185">
        <v>1619</v>
      </c>
      <c r="AF12" s="175">
        <v>34980890.039999999</v>
      </c>
      <c r="AG12" s="24"/>
      <c r="AH12" s="58"/>
      <c r="AI12" s="24"/>
      <c r="AJ12" s="138"/>
      <c r="AK12" s="139"/>
      <c r="AL12" s="139"/>
      <c r="AM12" s="24"/>
      <c r="AN12" s="24"/>
      <c r="AO12" s="24"/>
      <c r="AP12" s="24"/>
      <c r="AQ12" s="24"/>
      <c r="AR12" s="24"/>
      <c r="AS12" s="24"/>
      <c r="AT12" s="27"/>
      <c r="AU12" s="59"/>
      <c r="AV12" s="24"/>
      <c r="AW12" s="24"/>
      <c r="AX12" s="24"/>
      <c r="AY12" s="24"/>
      <c r="AZ12" s="24"/>
      <c r="BA12" s="24"/>
      <c r="BB12" s="61"/>
      <c r="BC12" s="61"/>
      <c r="BD12" s="61"/>
    </row>
    <row r="13" spans="1:56" ht="15.75" x14ac:dyDescent="0.25">
      <c r="A13" s="373"/>
      <c r="B13" s="281"/>
      <c r="C13" s="281"/>
      <c r="D13" s="351"/>
      <c r="E13" s="353"/>
      <c r="F13" s="353"/>
      <c r="G13" s="353"/>
      <c r="H13" s="353"/>
      <c r="I13" s="301"/>
      <c r="J13" s="340"/>
      <c r="K13" s="342"/>
      <c r="L13" s="301"/>
      <c r="M13" s="344"/>
      <c r="N13" s="301"/>
      <c r="O13" s="357"/>
      <c r="P13" s="358"/>
      <c r="Q13" s="334"/>
      <c r="R13" s="337"/>
      <c r="S13" s="334"/>
      <c r="T13" s="335"/>
      <c r="U13" s="364"/>
      <c r="V13" s="334"/>
      <c r="W13" s="334"/>
      <c r="X13" s="334"/>
      <c r="Y13" s="301"/>
      <c r="Z13" s="366"/>
      <c r="AA13" s="358"/>
      <c r="AB13" s="351"/>
      <c r="AC13" s="356"/>
      <c r="AD13" s="181">
        <v>45945</v>
      </c>
      <c r="AE13" s="182">
        <v>1620</v>
      </c>
      <c r="AF13" s="175">
        <v>40932258.780000001</v>
      </c>
      <c r="AG13" s="24"/>
      <c r="AH13" s="58"/>
      <c r="AI13" s="24"/>
      <c r="AJ13" s="138"/>
      <c r="AK13" s="139"/>
      <c r="AL13" s="139"/>
      <c r="AM13" s="24"/>
      <c r="AN13" s="24"/>
      <c r="AO13" s="24"/>
      <c r="AP13" s="24"/>
      <c r="AQ13" s="24"/>
      <c r="AR13" s="24"/>
      <c r="AS13" s="24"/>
      <c r="AT13" s="27"/>
      <c r="AU13" s="59"/>
      <c r="AV13" s="24"/>
      <c r="AW13" s="24"/>
      <c r="AX13" s="24"/>
      <c r="AY13" s="24"/>
      <c r="AZ13" s="24"/>
      <c r="BA13" s="24"/>
      <c r="BB13" s="61"/>
      <c r="BC13" s="61"/>
      <c r="BD13" s="61"/>
    </row>
    <row r="14" spans="1:56" ht="15.75" x14ac:dyDescent="0.25">
      <c r="A14" s="373"/>
      <c r="B14" s="281"/>
      <c r="C14" s="281"/>
      <c r="D14" s="351"/>
      <c r="E14" s="353"/>
      <c r="F14" s="353"/>
      <c r="G14" s="353"/>
      <c r="H14" s="353"/>
      <c r="I14" s="301"/>
      <c r="J14" s="340"/>
      <c r="K14" s="342"/>
      <c r="L14" s="301"/>
      <c r="M14" s="344"/>
      <c r="N14" s="301"/>
      <c r="O14" s="357"/>
      <c r="P14" s="358"/>
      <c r="Q14" s="334"/>
      <c r="R14" s="337"/>
      <c r="S14" s="334"/>
      <c r="T14" s="335"/>
      <c r="U14" s="364"/>
      <c r="V14" s="334"/>
      <c r="W14" s="334"/>
      <c r="X14" s="334"/>
      <c r="Y14" s="301"/>
      <c r="Z14" s="366"/>
      <c r="AA14" s="358"/>
      <c r="AB14" s="351"/>
      <c r="AC14" s="356"/>
      <c r="AD14" s="181">
        <v>45947</v>
      </c>
      <c r="AE14" s="185">
        <v>1648</v>
      </c>
      <c r="AF14" s="175">
        <v>237101.41</v>
      </c>
      <c r="AG14" s="24"/>
      <c r="AH14" s="58"/>
      <c r="AI14" s="24"/>
      <c r="AJ14" s="138"/>
      <c r="AK14" s="139"/>
      <c r="AL14" s="139"/>
      <c r="AM14" s="24"/>
      <c r="AN14" s="24"/>
      <c r="AO14" s="24"/>
      <c r="AP14" s="24"/>
      <c r="AQ14" s="24"/>
      <c r="AR14" s="24"/>
      <c r="AS14" s="24"/>
      <c r="AT14" s="27"/>
      <c r="AU14" s="59"/>
      <c r="AV14" s="24"/>
      <c r="AW14" s="24"/>
      <c r="AX14" s="24"/>
      <c r="AY14" s="24"/>
      <c r="AZ14" s="24"/>
      <c r="BA14" s="24"/>
      <c r="BB14" s="61"/>
      <c r="BC14" s="61"/>
      <c r="BD14" s="61"/>
    </row>
    <row r="15" spans="1:56" ht="15.75" x14ac:dyDescent="0.25">
      <c r="A15" s="373"/>
      <c r="B15" s="281"/>
      <c r="C15" s="281"/>
      <c r="D15" s="351"/>
      <c r="E15" s="353"/>
      <c r="F15" s="353"/>
      <c r="G15" s="353"/>
      <c r="H15" s="353"/>
      <c r="I15" s="301"/>
      <c r="J15" s="340"/>
      <c r="K15" s="342"/>
      <c r="L15" s="301"/>
      <c r="M15" s="344"/>
      <c r="N15" s="301"/>
      <c r="O15" s="357"/>
      <c r="P15" s="358"/>
      <c r="Q15" s="334"/>
      <c r="R15" s="337"/>
      <c r="S15" s="334"/>
      <c r="T15" s="335"/>
      <c r="U15" s="364"/>
      <c r="V15" s="334"/>
      <c r="W15" s="334"/>
      <c r="X15" s="334"/>
      <c r="Y15" s="301"/>
      <c r="Z15" s="366"/>
      <c r="AA15" s="358"/>
      <c r="AB15" s="351"/>
      <c r="AC15" s="356"/>
      <c r="AD15" s="181">
        <v>45952</v>
      </c>
      <c r="AE15" s="182">
        <v>1662</v>
      </c>
      <c r="AF15" s="175">
        <v>18958024.600000001</v>
      </c>
      <c r="AG15" s="24"/>
      <c r="AH15" s="58"/>
      <c r="AI15" s="24"/>
      <c r="AJ15" s="138"/>
      <c r="AK15" s="139"/>
      <c r="AL15" s="139"/>
      <c r="AM15" s="24"/>
      <c r="AN15" s="24"/>
      <c r="AO15" s="24"/>
      <c r="AP15" s="24"/>
      <c r="AQ15" s="24"/>
      <c r="AR15" s="24"/>
      <c r="AS15" s="24"/>
      <c r="AT15" s="27"/>
      <c r="AU15" s="59"/>
      <c r="AV15" s="24"/>
      <c r="AW15" s="24"/>
      <c r="AX15" s="24"/>
      <c r="AY15" s="24"/>
      <c r="AZ15" s="24"/>
      <c r="BA15" s="24"/>
      <c r="BB15" s="61"/>
      <c r="BC15" s="61"/>
      <c r="BD15" s="61"/>
    </row>
    <row r="16" spans="1:56" ht="15.75" x14ac:dyDescent="0.25">
      <c r="A16" s="373"/>
      <c r="B16" s="281"/>
      <c r="C16" s="281"/>
      <c r="D16" s="351"/>
      <c r="E16" s="353"/>
      <c r="F16" s="353"/>
      <c r="G16" s="353"/>
      <c r="H16" s="353"/>
      <c r="I16" s="301"/>
      <c r="J16" s="340"/>
      <c r="K16" s="342"/>
      <c r="L16" s="301"/>
      <c r="M16" s="344"/>
      <c r="N16" s="301"/>
      <c r="O16" s="357"/>
      <c r="P16" s="358"/>
      <c r="Q16" s="334"/>
      <c r="R16" s="337"/>
      <c r="S16" s="334"/>
      <c r="T16" s="335"/>
      <c r="U16" s="364"/>
      <c r="V16" s="334"/>
      <c r="W16" s="334"/>
      <c r="X16" s="334"/>
      <c r="Y16" s="301"/>
      <c r="Z16" s="366"/>
      <c r="AA16" s="358"/>
      <c r="AB16" s="351"/>
      <c r="AC16" s="356"/>
      <c r="AD16" s="181">
        <v>46015</v>
      </c>
      <c r="AE16" s="185">
        <v>2093</v>
      </c>
      <c r="AF16" s="175">
        <v>56279155</v>
      </c>
      <c r="AG16" s="24"/>
      <c r="AH16" s="58"/>
      <c r="AI16" s="24"/>
      <c r="AJ16" s="138"/>
      <c r="AK16" s="139"/>
      <c r="AL16" s="139"/>
      <c r="AM16" s="24"/>
      <c r="AN16" s="24"/>
      <c r="AO16" s="24"/>
      <c r="AP16" s="24"/>
      <c r="AQ16" s="24"/>
      <c r="AR16" s="24"/>
      <c r="AS16" s="24"/>
      <c r="AT16" s="27"/>
      <c r="AU16" s="59"/>
      <c r="AV16" s="24"/>
      <c r="AW16" s="24"/>
      <c r="AX16" s="24"/>
      <c r="AY16" s="24"/>
      <c r="AZ16" s="24"/>
      <c r="BA16" s="24"/>
      <c r="BB16" s="61"/>
      <c r="BC16" s="61"/>
      <c r="BD16" s="61"/>
    </row>
    <row r="17" spans="1:56" ht="35.25" customHeight="1" x14ac:dyDescent="0.25">
      <c r="A17" s="373"/>
      <c r="B17" s="281"/>
      <c r="C17" s="281"/>
      <c r="D17" s="351"/>
      <c r="E17" s="353"/>
      <c r="F17" s="353"/>
      <c r="G17" s="353"/>
      <c r="H17" s="353"/>
      <c r="I17" s="301"/>
      <c r="J17" s="340"/>
      <c r="K17" s="342"/>
      <c r="L17" s="301"/>
      <c r="M17" s="344"/>
      <c r="N17" s="301"/>
      <c r="O17" s="357">
        <v>45994</v>
      </c>
      <c r="P17" s="358" t="s">
        <v>121</v>
      </c>
      <c r="Q17" s="334"/>
      <c r="R17" s="358">
        <v>116880742.63</v>
      </c>
      <c r="S17" s="334"/>
      <c r="T17" s="359">
        <v>45876</v>
      </c>
      <c r="U17" s="361">
        <v>152</v>
      </c>
      <c r="V17" s="363" t="s">
        <v>122</v>
      </c>
      <c r="W17" s="363" t="s">
        <v>123</v>
      </c>
      <c r="X17" s="334"/>
      <c r="Y17" s="301"/>
      <c r="Z17" s="366"/>
      <c r="AA17" s="358">
        <v>116880742.63</v>
      </c>
      <c r="AB17" s="351"/>
      <c r="AC17" s="363" t="s">
        <v>123</v>
      </c>
      <c r="AD17" s="186">
        <v>45939</v>
      </c>
      <c r="AE17" s="187">
        <v>1538</v>
      </c>
      <c r="AF17" s="175">
        <v>237101.41</v>
      </c>
      <c r="AG17" s="24"/>
      <c r="AH17" s="58"/>
      <c r="AI17" s="24"/>
      <c r="AJ17" s="138"/>
      <c r="AK17" s="139"/>
      <c r="AL17" s="139"/>
      <c r="AM17" s="24"/>
      <c r="AN17" s="24"/>
      <c r="AO17" s="24"/>
      <c r="AP17" s="24"/>
      <c r="AQ17" s="24"/>
      <c r="AR17" s="24"/>
      <c r="AS17" s="24"/>
      <c r="AT17" s="27"/>
      <c r="AU17" s="59"/>
      <c r="AV17" s="24"/>
      <c r="AW17" s="24"/>
      <c r="AX17" s="24"/>
      <c r="AY17" s="24"/>
      <c r="AZ17" s="24"/>
      <c r="BA17" s="24"/>
      <c r="BB17" s="61"/>
      <c r="BC17" s="61"/>
      <c r="BD17" s="61"/>
    </row>
    <row r="18" spans="1:56" ht="24.75" customHeight="1" x14ac:dyDescent="0.25">
      <c r="A18" s="374"/>
      <c r="B18" s="281"/>
      <c r="C18" s="281"/>
      <c r="D18" s="352"/>
      <c r="E18" s="354"/>
      <c r="F18" s="354"/>
      <c r="G18" s="354"/>
      <c r="H18" s="354"/>
      <c r="I18" s="277"/>
      <c r="J18" s="341"/>
      <c r="K18" s="343"/>
      <c r="L18" s="277"/>
      <c r="M18" s="345"/>
      <c r="N18" s="277"/>
      <c r="O18" s="357"/>
      <c r="P18" s="358"/>
      <c r="Q18" s="346"/>
      <c r="R18" s="358"/>
      <c r="S18" s="346"/>
      <c r="T18" s="360"/>
      <c r="U18" s="362"/>
      <c r="V18" s="346"/>
      <c r="W18" s="346"/>
      <c r="X18" s="346"/>
      <c r="Y18" s="277"/>
      <c r="Z18" s="367"/>
      <c r="AA18" s="358"/>
      <c r="AB18" s="352"/>
      <c r="AC18" s="346"/>
      <c r="AD18" s="186">
        <v>46021</v>
      </c>
      <c r="AE18" s="187">
        <v>2211</v>
      </c>
      <c r="AF18" s="175">
        <v>237101.43</v>
      </c>
      <c r="AG18" s="24"/>
      <c r="AH18" s="58"/>
      <c r="AI18" s="24"/>
      <c r="AJ18" s="138"/>
      <c r="AK18" s="139"/>
      <c r="AL18" s="139"/>
      <c r="AM18" s="24"/>
      <c r="AN18" s="24"/>
      <c r="AO18" s="24"/>
      <c r="AP18" s="24"/>
      <c r="AQ18" s="24"/>
      <c r="AR18" s="24"/>
      <c r="AS18" s="24"/>
      <c r="AT18" s="27"/>
      <c r="AU18" s="59"/>
      <c r="AV18" s="24"/>
      <c r="AW18" s="24"/>
      <c r="AX18" s="24"/>
      <c r="AY18" s="24"/>
      <c r="AZ18" s="24"/>
      <c r="BA18" s="24"/>
      <c r="BB18" s="61"/>
      <c r="BC18" s="61"/>
      <c r="BD18" s="61"/>
    </row>
    <row r="19" spans="1:56" ht="24.75" customHeight="1" x14ac:dyDescent="0.25">
      <c r="A19" s="349" t="s">
        <v>124</v>
      </c>
      <c r="B19" s="281">
        <v>63130766.719999999</v>
      </c>
      <c r="C19" s="281">
        <v>63130766.719999999</v>
      </c>
      <c r="D19" s="351"/>
      <c r="E19" s="353"/>
      <c r="F19" s="353"/>
      <c r="G19" s="353"/>
      <c r="H19" s="353"/>
      <c r="I19" s="301"/>
      <c r="J19" s="340"/>
      <c r="K19" s="342"/>
      <c r="L19" s="301"/>
      <c r="M19" s="344"/>
      <c r="N19" s="334">
        <v>63130766.719999999</v>
      </c>
      <c r="O19" s="347">
        <v>45693</v>
      </c>
      <c r="P19" s="334" t="s">
        <v>125</v>
      </c>
      <c r="Q19" s="334" t="s">
        <v>50</v>
      </c>
      <c r="R19" s="348" t="s">
        <v>126</v>
      </c>
      <c r="S19" s="334"/>
      <c r="T19" s="335">
        <v>45947</v>
      </c>
      <c r="U19" s="336" t="s">
        <v>127</v>
      </c>
      <c r="V19" s="334" t="s">
        <v>128</v>
      </c>
      <c r="W19" s="334" t="s">
        <v>129</v>
      </c>
      <c r="X19" s="337"/>
      <c r="Y19" s="338">
        <v>63130766.719999999</v>
      </c>
      <c r="Z19" s="339" t="s">
        <v>126</v>
      </c>
      <c r="AA19" s="337"/>
      <c r="AB19" s="301"/>
      <c r="AC19" s="328" t="s">
        <v>126</v>
      </c>
      <c r="AD19" s="186">
        <v>45994</v>
      </c>
      <c r="AE19" s="190">
        <v>1925</v>
      </c>
      <c r="AF19" s="175">
        <v>4480296.4400000004</v>
      </c>
      <c r="AG19" s="24"/>
      <c r="AH19" s="58"/>
      <c r="AI19" s="24"/>
      <c r="AJ19" s="138"/>
      <c r="AK19" s="139"/>
      <c r="AL19" s="139"/>
      <c r="AM19" s="24"/>
      <c r="AN19" s="24"/>
      <c r="AO19" s="24"/>
      <c r="AP19" s="24"/>
      <c r="AQ19" s="24"/>
      <c r="AR19" s="24"/>
      <c r="AS19" s="24"/>
      <c r="AT19" s="27"/>
      <c r="AU19" s="59"/>
      <c r="AV19" s="24"/>
      <c r="AW19" s="24"/>
      <c r="AX19" s="24"/>
      <c r="AY19" s="24"/>
      <c r="AZ19" s="24"/>
      <c r="BA19" s="24"/>
      <c r="BB19" s="61"/>
      <c r="BC19" s="61"/>
      <c r="BD19" s="61"/>
    </row>
    <row r="20" spans="1:56" ht="24.75" customHeight="1" x14ac:dyDescent="0.25">
      <c r="A20" s="349"/>
      <c r="B20" s="281"/>
      <c r="C20" s="281"/>
      <c r="D20" s="351"/>
      <c r="E20" s="353"/>
      <c r="F20" s="353"/>
      <c r="G20" s="353"/>
      <c r="H20" s="353"/>
      <c r="I20" s="301"/>
      <c r="J20" s="340"/>
      <c r="K20" s="342"/>
      <c r="L20" s="301"/>
      <c r="M20" s="344"/>
      <c r="N20" s="334"/>
      <c r="O20" s="347"/>
      <c r="P20" s="334"/>
      <c r="Q20" s="334"/>
      <c r="R20" s="348"/>
      <c r="S20" s="334"/>
      <c r="T20" s="335"/>
      <c r="U20" s="336"/>
      <c r="V20" s="334"/>
      <c r="W20" s="334"/>
      <c r="X20" s="337"/>
      <c r="Y20" s="338"/>
      <c r="Z20" s="339"/>
      <c r="AA20" s="337"/>
      <c r="AB20" s="301"/>
      <c r="AC20" s="329"/>
      <c r="AD20" s="191">
        <v>45994</v>
      </c>
      <c r="AE20" s="190" t="s">
        <v>130</v>
      </c>
      <c r="AF20" s="175">
        <v>8593841.6600000001</v>
      </c>
      <c r="AG20" s="24"/>
      <c r="AH20" s="58"/>
      <c r="AI20" s="24"/>
      <c r="AJ20" s="138"/>
      <c r="AK20" s="139"/>
      <c r="AL20" s="139"/>
      <c r="AM20" s="24"/>
      <c r="AN20" s="24"/>
      <c r="AO20" s="24"/>
      <c r="AP20" s="24"/>
      <c r="AQ20" s="24"/>
      <c r="AR20" s="24"/>
      <c r="AS20" s="24"/>
      <c r="AT20" s="27"/>
      <c r="AU20" s="59"/>
      <c r="AV20" s="24"/>
      <c r="AW20" s="24"/>
      <c r="AX20" s="24"/>
      <c r="AY20" s="24"/>
      <c r="AZ20" s="24"/>
      <c r="BA20" s="24"/>
      <c r="BB20" s="61"/>
      <c r="BC20" s="61"/>
      <c r="BD20" s="61"/>
    </row>
    <row r="21" spans="1:56" ht="24.75" customHeight="1" x14ac:dyDescent="0.25">
      <c r="A21" s="349"/>
      <c r="B21" s="281"/>
      <c r="C21" s="281"/>
      <c r="D21" s="351"/>
      <c r="E21" s="353"/>
      <c r="F21" s="353"/>
      <c r="G21" s="353"/>
      <c r="H21" s="353"/>
      <c r="I21" s="301"/>
      <c r="J21" s="340"/>
      <c r="K21" s="342"/>
      <c r="L21" s="301"/>
      <c r="M21" s="344"/>
      <c r="N21" s="334"/>
      <c r="O21" s="347"/>
      <c r="P21" s="334"/>
      <c r="Q21" s="334"/>
      <c r="R21" s="348"/>
      <c r="S21" s="334"/>
      <c r="T21" s="335"/>
      <c r="U21" s="336"/>
      <c r="V21" s="334"/>
      <c r="W21" s="334"/>
      <c r="X21" s="337"/>
      <c r="Y21" s="338"/>
      <c r="Z21" s="339"/>
      <c r="AA21" s="337"/>
      <c r="AB21" s="301"/>
      <c r="AC21" s="329"/>
      <c r="AD21" s="186">
        <v>45994</v>
      </c>
      <c r="AE21" s="190" t="s">
        <v>131</v>
      </c>
      <c r="AF21" s="192">
        <v>7249929.0700000003</v>
      </c>
      <c r="AG21" s="24"/>
      <c r="AH21" s="58"/>
      <c r="AI21" s="24"/>
      <c r="AJ21" s="138"/>
      <c r="AK21" s="139"/>
      <c r="AL21" s="139"/>
      <c r="AM21" s="24"/>
      <c r="AN21" s="24"/>
      <c r="AO21" s="24"/>
      <c r="AP21" s="24"/>
      <c r="AQ21" s="24"/>
      <c r="AR21" s="24"/>
      <c r="AS21" s="24"/>
      <c r="AT21" s="27"/>
      <c r="AU21" s="59"/>
      <c r="AV21" s="24"/>
      <c r="AW21" s="24"/>
      <c r="AX21" s="24"/>
      <c r="AY21" s="24"/>
      <c r="AZ21" s="24"/>
      <c r="BA21" s="24"/>
      <c r="BB21" s="61"/>
      <c r="BC21" s="61"/>
      <c r="BD21" s="61"/>
    </row>
    <row r="22" spans="1:56" ht="24.75" customHeight="1" x14ac:dyDescent="0.25">
      <c r="A22" s="349"/>
      <c r="B22" s="281"/>
      <c r="C22" s="281"/>
      <c r="D22" s="351"/>
      <c r="E22" s="353"/>
      <c r="F22" s="353"/>
      <c r="G22" s="353"/>
      <c r="H22" s="353"/>
      <c r="I22" s="301"/>
      <c r="J22" s="340"/>
      <c r="K22" s="342"/>
      <c r="L22" s="301"/>
      <c r="M22" s="344"/>
      <c r="N22" s="334"/>
      <c r="O22" s="347"/>
      <c r="P22" s="334"/>
      <c r="Q22" s="334"/>
      <c r="R22" s="348"/>
      <c r="S22" s="334"/>
      <c r="T22" s="335"/>
      <c r="U22" s="336"/>
      <c r="V22" s="334"/>
      <c r="W22" s="334"/>
      <c r="X22" s="337"/>
      <c r="Y22" s="338"/>
      <c r="Z22" s="339"/>
      <c r="AA22" s="337"/>
      <c r="AB22" s="301"/>
      <c r="AC22" s="329"/>
      <c r="AD22" s="191">
        <v>45994</v>
      </c>
      <c r="AE22" s="190" t="s">
        <v>132</v>
      </c>
      <c r="AF22" s="193">
        <v>6068632.3799999999</v>
      </c>
      <c r="AG22" s="24"/>
      <c r="AH22" s="58"/>
      <c r="AI22" s="24"/>
      <c r="AJ22" s="138"/>
      <c r="AK22" s="139"/>
      <c r="AL22" s="139"/>
      <c r="AM22" s="24"/>
      <c r="AN22" s="24"/>
      <c r="AO22" s="24"/>
      <c r="AP22" s="24"/>
      <c r="AQ22" s="24"/>
      <c r="AR22" s="24"/>
      <c r="AS22" s="24"/>
      <c r="AT22" s="27"/>
      <c r="AU22" s="59"/>
      <c r="AV22" s="24"/>
      <c r="AW22" s="24"/>
      <c r="AX22" s="24"/>
      <c r="AY22" s="24"/>
      <c r="AZ22" s="24"/>
      <c r="BA22" s="24"/>
      <c r="BB22" s="61"/>
      <c r="BC22" s="61"/>
      <c r="BD22" s="61"/>
    </row>
    <row r="23" spans="1:56" ht="24.75" customHeight="1" x14ac:dyDescent="0.25">
      <c r="A23" s="349"/>
      <c r="B23" s="281"/>
      <c r="C23" s="281"/>
      <c r="D23" s="351"/>
      <c r="E23" s="353"/>
      <c r="F23" s="353"/>
      <c r="G23" s="353"/>
      <c r="H23" s="353"/>
      <c r="I23" s="301"/>
      <c r="J23" s="340"/>
      <c r="K23" s="342"/>
      <c r="L23" s="301"/>
      <c r="M23" s="344"/>
      <c r="N23" s="334"/>
      <c r="O23" s="347"/>
      <c r="P23" s="334"/>
      <c r="Q23" s="334"/>
      <c r="R23" s="348"/>
      <c r="S23" s="334"/>
      <c r="T23" s="335"/>
      <c r="U23" s="336"/>
      <c r="V23" s="334"/>
      <c r="W23" s="334"/>
      <c r="X23" s="337"/>
      <c r="Y23" s="338"/>
      <c r="Z23" s="339"/>
      <c r="AA23" s="337"/>
      <c r="AB23" s="301"/>
      <c r="AC23" s="329"/>
      <c r="AD23" s="186">
        <v>45994</v>
      </c>
      <c r="AE23" s="190" t="s">
        <v>132</v>
      </c>
      <c r="AF23" s="194">
        <v>4170716.54</v>
      </c>
      <c r="AG23" s="24"/>
      <c r="AH23" s="58"/>
      <c r="AI23" s="24"/>
      <c r="AJ23" s="138"/>
      <c r="AK23" s="139"/>
      <c r="AL23" s="139"/>
      <c r="AM23" s="24"/>
      <c r="AN23" s="24"/>
      <c r="AO23" s="24"/>
      <c r="AP23" s="24"/>
      <c r="AQ23" s="24"/>
      <c r="AR23" s="24"/>
      <c r="AS23" s="24"/>
      <c r="AT23" s="27"/>
      <c r="AU23" s="59"/>
      <c r="AV23" s="24"/>
      <c r="AW23" s="24"/>
      <c r="AX23" s="24"/>
      <c r="AY23" s="24"/>
      <c r="AZ23" s="24"/>
      <c r="BA23" s="24"/>
      <c r="BB23" s="61"/>
      <c r="BC23" s="61"/>
      <c r="BD23" s="61"/>
    </row>
    <row r="24" spans="1:56" ht="24.75" customHeight="1" x14ac:dyDescent="0.25">
      <c r="A24" s="349"/>
      <c r="B24" s="281"/>
      <c r="C24" s="281"/>
      <c r="D24" s="351"/>
      <c r="E24" s="353"/>
      <c r="F24" s="353"/>
      <c r="G24" s="353"/>
      <c r="H24" s="353"/>
      <c r="I24" s="301"/>
      <c r="J24" s="340"/>
      <c r="K24" s="342"/>
      <c r="L24" s="301"/>
      <c r="M24" s="344"/>
      <c r="N24" s="334"/>
      <c r="O24" s="347"/>
      <c r="P24" s="334"/>
      <c r="Q24" s="334"/>
      <c r="R24" s="348"/>
      <c r="S24" s="334"/>
      <c r="T24" s="335"/>
      <c r="U24" s="336"/>
      <c r="V24" s="334"/>
      <c r="W24" s="334"/>
      <c r="X24" s="337"/>
      <c r="Y24" s="338"/>
      <c r="Z24" s="339"/>
      <c r="AA24" s="337"/>
      <c r="AB24" s="301"/>
      <c r="AC24" s="329"/>
      <c r="AD24" s="191">
        <v>45994</v>
      </c>
      <c r="AE24" s="190" t="s">
        <v>133</v>
      </c>
      <c r="AF24" s="195">
        <v>20439507.489999998</v>
      </c>
      <c r="AG24" s="24"/>
      <c r="AH24" s="58"/>
      <c r="AI24" s="24"/>
      <c r="AJ24" s="138"/>
      <c r="AK24" s="139"/>
      <c r="AL24" s="139"/>
      <c r="AM24" s="24"/>
      <c r="AN24" s="24"/>
      <c r="AO24" s="24"/>
      <c r="AP24" s="24"/>
      <c r="AQ24" s="24"/>
      <c r="AR24" s="24"/>
      <c r="AS24" s="24"/>
      <c r="AT24" s="27"/>
      <c r="AU24" s="59"/>
      <c r="AV24" s="24"/>
      <c r="AW24" s="24"/>
      <c r="AX24" s="24"/>
      <c r="AY24" s="24"/>
      <c r="AZ24" s="24"/>
      <c r="BA24" s="24"/>
      <c r="BB24" s="61"/>
      <c r="BC24" s="61"/>
      <c r="BD24" s="61"/>
    </row>
    <row r="25" spans="1:56" ht="24.75" customHeight="1" x14ac:dyDescent="0.25">
      <c r="A25" s="349"/>
      <c r="B25" s="281"/>
      <c r="C25" s="281"/>
      <c r="D25" s="351"/>
      <c r="E25" s="353"/>
      <c r="F25" s="353"/>
      <c r="G25" s="353"/>
      <c r="H25" s="353"/>
      <c r="I25" s="301"/>
      <c r="J25" s="340"/>
      <c r="K25" s="342"/>
      <c r="L25" s="301"/>
      <c r="M25" s="344"/>
      <c r="N25" s="334"/>
      <c r="O25" s="347"/>
      <c r="P25" s="334"/>
      <c r="Q25" s="334"/>
      <c r="R25" s="348"/>
      <c r="S25" s="334"/>
      <c r="T25" s="335"/>
      <c r="U25" s="336"/>
      <c r="V25" s="334"/>
      <c r="W25" s="334"/>
      <c r="X25" s="337"/>
      <c r="Y25" s="338"/>
      <c r="Z25" s="339"/>
      <c r="AA25" s="337"/>
      <c r="AB25" s="301"/>
      <c r="AC25" s="329"/>
      <c r="AD25" s="196">
        <v>46015</v>
      </c>
      <c r="AE25" s="197" t="s">
        <v>134</v>
      </c>
      <c r="AF25" s="195">
        <v>844034.62</v>
      </c>
      <c r="AG25" s="24"/>
      <c r="AH25" s="58"/>
      <c r="AI25" s="24"/>
      <c r="AJ25" s="138"/>
      <c r="AK25" s="139"/>
      <c r="AL25" s="139"/>
      <c r="AM25" s="24"/>
      <c r="AN25" s="24"/>
      <c r="AO25" s="24"/>
      <c r="AP25" s="24"/>
      <c r="AQ25" s="24"/>
      <c r="AR25" s="24"/>
      <c r="AS25" s="24"/>
      <c r="AT25" s="27"/>
      <c r="AU25" s="59"/>
      <c r="AV25" s="24"/>
      <c r="AW25" s="24"/>
      <c r="AX25" s="24"/>
      <c r="AY25" s="24"/>
      <c r="AZ25" s="24"/>
      <c r="BA25" s="24"/>
      <c r="BB25" s="61"/>
      <c r="BC25" s="61"/>
      <c r="BD25" s="61"/>
    </row>
    <row r="26" spans="1:56" ht="24.75" customHeight="1" x14ac:dyDescent="0.25">
      <c r="A26" s="349"/>
      <c r="B26" s="281"/>
      <c r="C26" s="281"/>
      <c r="D26" s="351"/>
      <c r="E26" s="353"/>
      <c r="F26" s="353"/>
      <c r="G26" s="353"/>
      <c r="H26" s="353"/>
      <c r="I26" s="301"/>
      <c r="J26" s="340"/>
      <c r="K26" s="342"/>
      <c r="L26" s="301"/>
      <c r="M26" s="344"/>
      <c r="N26" s="334"/>
      <c r="O26" s="347"/>
      <c r="P26" s="334"/>
      <c r="Q26" s="334"/>
      <c r="R26" s="348"/>
      <c r="S26" s="334"/>
      <c r="T26" s="335"/>
      <c r="U26" s="336"/>
      <c r="V26" s="334"/>
      <c r="W26" s="334"/>
      <c r="X26" s="337"/>
      <c r="Y26" s="338"/>
      <c r="Z26" s="339"/>
      <c r="AA26" s="337"/>
      <c r="AB26" s="301"/>
      <c r="AC26" s="329"/>
      <c r="AD26" s="198">
        <v>46015</v>
      </c>
      <c r="AE26" s="197" t="s">
        <v>135</v>
      </c>
      <c r="AF26" s="194">
        <v>1140675.81</v>
      </c>
      <c r="AG26" s="24"/>
      <c r="AH26" s="58"/>
      <c r="AI26" s="24"/>
      <c r="AJ26" s="138"/>
      <c r="AK26" s="139"/>
      <c r="AL26" s="139"/>
      <c r="AM26" s="24"/>
      <c r="AN26" s="24"/>
      <c r="AO26" s="24"/>
      <c r="AP26" s="24"/>
      <c r="AQ26" s="24"/>
      <c r="AR26" s="24"/>
      <c r="AS26" s="24"/>
      <c r="AT26" s="27"/>
      <c r="AU26" s="59"/>
      <c r="AV26" s="24"/>
      <c r="AW26" s="24"/>
      <c r="AX26" s="24"/>
      <c r="AY26" s="24"/>
      <c r="AZ26" s="24"/>
      <c r="BA26" s="24"/>
      <c r="BB26" s="61"/>
      <c r="BC26" s="61"/>
      <c r="BD26" s="61"/>
    </row>
    <row r="27" spans="1:56" ht="24.75" customHeight="1" x14ac:dyDescent="0.25">
      <c r="A27" s="349"/>
      <c r="B27" s="281"/>
      <c r="C27" s="281"/>
      <c r="D27" s="351"/>
      <c r="E27" s="353"/>
      <c r="F27" s="353"/>
      <c r="G27" s="353"/>
      <c r="H27" s="353"/>
      <c r="I27" s="301"/>
      <c r="J27" s="340"/>
      <c r="K27" s="342"/>
      <c r="L27" s="301"/>
      <c r="M27" s="344"/>
      <c r="N27" s="334"/>
      <c r="O27" s="347"/>
      <c r="P27" s="334"/>
      <c r="Q27" s="334"/>
      <c r="R27" s="348"/>
      <c r="S27" s="334"/>
      <c r="T27" s="335"/>
      <c r="U27" s="336"/>
      <c r="V27" s="334"/>
      <c r="W27" s="334"/>
      <c r="X27" s="337"/>
      <c r="Y27" s="338"/>
      <c r="Z27" s="339"/>
      <c r="AA27" s="337"/>
      <c r="AB27" s="301"/>
      <c r="AC27" s="329"/>
      <c r="AD27" s="196">
        <v>46015</v>
      </c>
      <c r="AE27" s="197" t="s">
        <v>136</v>
      </c>
      <c r="AF27" s="195">
        <v>6089468.6699999999</v>
      </c>
      <c r="AG27" s="24"/>
      <c r="AH27" s="58"/>
      <c r="AI27" s="24"/>
      <c r="AJ27" s="138"/>
      <c r="AK27" s="139"/>
      <c r="AL27" s="139"/>
      <c r="AM27" s="24"/>
      <c r="AN27" s="24"/>
      <c r="AO27" s="24"/>
      <c r="AP27" s="24"/>
      <c r="AQ27" s="24"/>
      <c r="AR27" s="24"/>
      <c r="AS27" s="24"/>
      <c r="AT27" s="27"/>
      <c r="AU27" s="59"/>
      <c r="AV27" s="24"/>
      <c r="AW27" s="24"/>
      <c r="AX27" s="24"/>
      <c r="AY27" s="24"/>
      <c r="AZ27" s="24"/>
      <c r="BA27" s="24"/>
      <c r="BB27" s="61"/>
      <c r="BC27" s="61"/>
      <c r="BD27" s="61"/>
    </row>
    <row r="28" spans="1:56" ht="24.75" customHeight="1" x14ac:dyDescent="0.25">
      <c r="A28" s="349"/>
      <c r="B28" s="281"/>
      <c r="C28" s="281"/>
      <c r="D28" s="351"/>
      <c r="E28" s="353"/>
      <c r="F28" s="353"/>
      <c r="G28" s="353"/>
      <c r="H28" s="353"/>
      <c r="I28" s="301"/>
      <c r="J28" s="340"/>
      <c r="K28" s="342"/>
      <c r="L28" s="301"/>
      <c r="M28" s="344"/>
      <c r="N28" s="334"/>
      <c r="O28" s="347"/>
      <c r="P28" s="334"/>
      <c r="Q28" s="334"/>
      <c r="R28" s="348"/>
      <c r="S28" s="334"/>
      <c r="T28" s="335"/>
      <c r="U28" s="336"/>
      <c r="V28" s="334"/>
      <c r="W28" s="334"/>
      <c r="X28" s="337"/>
      <c r="Y28" s="338"/>
      <c r="Z28" s="339"/>
      <c r="AA28" s="337"/>
      <c r="AB28" s="301"/>
      <c r="AC28" s="329"/>
      <c r="AD28" s="196">
        <v>46020</v>
      </c>
      <c r="AE28" s="197" t="s">
        <v>137</v>
      </c>
      <c r="AF28" s="199">
        <v>29490.97</v>
      </c>
      <c r="AG28" s="24"/>
      <c r="AH28" s="58"/>
      <c r="AI28" s="24"/>
      <c r="AJ28" s="138"/>
      <c r="AK28" s="139"/>
      <c r="AL28" s="139"/>
      <c r="AM28" s="24"/>
      <c r="AN28" s="24"/>
      <c r="AO28" s="24"/>
      <c r="AP28" s="24"/>
      <c r="AQ28" s="24"/>
      <c r="AR28" s="24"/>
      <c r="AS28" s="24"/>
      <c r="AT28" s="27"/>
      <c r="AU28" s="59"/>
      <c r="AV28" s="24"/>
      <c r="AW28" s="24"/>
      <c r="AX28" s="24"/>
      <c r="AY28" s="24"/>
      <c r="AZ28" s="24"/>
      <c r="BA28" s="24"/>
      <c r="BB28" s="61"/>
      <c r="BC28" s="61"/>
      <c r="BD28" s="61"/>
    </row>
    <row r="29" spans="1:56" ht="24.75" customHeight="1" x14ac:dyDescent="0.25">
      <c r="A29" s="349"/>
      <c r="B29" s="281"/>
      <c r="C29" s="281"/>
      <c r="D29" s="351"/>
      <c r="E29" s="353"/>
      <c r="F29" s="353"/>
      <c r="G29" s="353"/>
      <c r="H29" s="353"/>
      <c r="I29" s="301"/>
      <c r="J29" s="340"/>
      <c r="K29" s="342"/>
      <c r="L29" s="301"/>
      <c r="M29" s="344"/>
      <c r="N29" s="334"/>
      <c r="O29" s="347"/>
      <c r="P29" s="334"/>
      <c r="Q29" s="334"/>
      <c r="R29" s="348"/>
      <c r="S29" s="334"/>
      <c r="T29" s="335"/>
      <c r="U29" s="336"/>
      <c r="V29" s="334"/>
      <c r="W29" s="334"/>
      <c r="X29" s="337"/>
      <c r="Y29" s="338"/>
      <c r="Z29" s="339"/>
      <c r="AA29" s="337"/>
      <c r="AB29" s="301"/>
      <c r="AC29" s="330"/>
      <c r="AD29" s="196">
        <v>46020</v>
      </c>
      <c r="AE29" s="197" t="s">
        <v>138</v>
      </c>
      <c r="AF29" s="199">
        <v>2379845.92</v>
      </c>
      <c r="AG29" s="24"/>
      <c r="AH29" s="58"/>
      <c r="AI29" s="24"/>
      <c r="AJ29" s="138"/>
      <c r="AK29" s="139"/>
      <c r="AL29" s="139"/>
      <c r="AM29" s="24"/>
      <c r="AN29" s="24"/>
      <c r="AO29" s="24"/>
      <c r="AP29" s="24"/>
      <c r="AQ29" s="24"/>
      <c r="AR29" s="24"/>
      <c r="AS29" s="24"/>
      <c r="AT29" s="27"/>
      <c r="AU29" s="59"/>
      <c r="AV29" s="24"/>
      <c r="AW29" s="24"/>
      <c r="AX29" s="24"/>
      <c r="AY29" s="24"/>
      <c r="AZ29" s="24"/>
      <c r="BA29" s="24"/>
      <c r="BB29" s="61"/>
      <c r="BC29" s="61"/>
      <c r="BD29" s="61"/>
    </row>
    <row r="30" spans="1:56" ht="45" x14ac:dyDescent="0.25">
      <c r="A30" s="350"/>
      <c r="B30" s="281"/>
      <c r="C30" s="281"/>
      <c r="D30" s="352"/>
      <c r="E30" s="354"/>
      <c r="F30" s="354"/>
      <c r="G30" s="354"/>
      <c r="H30" s="354"/>
      <c r="I30" s="277"/>
      <c r="J30" s="341"/>
      <c r="K30" s="343"/>
      <c r="L30" s="277"/>
      <c r="M30" s="345"/>
      <c r="N30" s="346"/>
      <c r="O30" s="200">
        <v>46001</v>
      </c>
      <c r="P30" s="172" t="s">
        <v>139</v>
      </c>
      <c r="Q30" s="334"/>
      <c r="R30" s="201">
        <v>8903962.5999999996</v>
      </c>
      <c r="S30" s="188"/>
      <c r="T30" s="180">
        <v>45995</v>
      </c>
      <c r="U30" s="189" t="s">
        <v>140</v>
      </c>
      <c r="V30" s="179" t="s">
        <v>141</v>
      </c>
      <c r="W30" s="202" t="s">
        <v>142</v>
      </c>
      <c r="X30" s="172"/>
      <c r="Y30" s="338"/>
      <c r="Z30" s="203"/>
      <c r="AA30" s="37"/>
      <c r="AB30" s="37"/>
      <c r="AC30" s="204"/>
      <c r="AD30" s="204"/>
      <c r="AE30" s="204"/>
      <c r="AF30" s="141"/>
      <c r="AG30" s="37"/>
      <c r="AH30" s="37"/>
      <c r="AI30" s="205"/>
      <c r="AJ30" s="142"/>
      <c r="AK30" s="142"/>
      <c r="AL30" s="142"/>
      <c r="AM30" s="142"/>
      <c r="AN30" s="24"/>
      <c r="AO30" s="143"/>
      <c r="AP30" s="144"/>
      <c r="AQ30" s="145"/>
      <c r="AR30" s="24"/>
      <c r="AS30" s="146"/>
      <c r="AT30" s="141"/>
      <c r="AU30" s="141"/>
      <c r="AV30" s="141"/>
      <c r="AW30" s="141"/>
      <c r="AX30" s="37"/>
      <c r="AY30" s="24"/>
      <c r="AZ30" s="204"/>
      <c r="BA30" s="154"/>
      <c r="BB30" s="6"/>
      <c r="BC30" s="6"/>
      <c r="BD30" s="6"/>
    </row>
    <row r="31" spans="1:56" ht="15.75" x14ac:dyDescent="0.25">
      <c r="A31" s="331" t="s">
        <v>143</v>
      </c>
      <c r="B31" s="281">
        <v>163965822.97</v>
      </c>
      <c r="C31" s="281">
        <v>163965822.97</v>
      </c>
      <c r="D31" s="318"/>
      <c r="E31" s="273"/>
      <c r="F31" s="273"/>
      <c r="G31" s="273"/>
      <c r="H31" s="273"/>
      <c r="I31" s="276"/>
      <c r="J31" s="302"/>
      <c r="K31" s="295"/>
      <c r="L31" s="298"/>
      <c r="M31" s="276"/>
      <c r="N31" s="276">
        <v>163965822.97</v>
      </c>
      <c r="O31" s="321">
        <v>45698</v>
      </c>
      <c r="P31" s="322" t="s">
        <v>144</v>
      </c>
      <c r="Q31" s="322" t="s">
        <v>50</v>
      </c>
      <c r="R31" s="322" t="s">
        <v>145</v>
      </c>
      <c r="S31" s="322" t="s">
        <v>146</v>
      </c>
      <c r="T31" s="321">
        <v>45915</v>
      </c>
      <c r="U31" s="322">
        <v>180</v>
      </c>
      <c r="V31" s="333" t="s">
        <v>147</v>
      </c>
      <c r="W31" s="326" t="s">
        <v>145</v>
      </c>
      <c r="X31" s="273"/>
      <c r="Y31" s="275">
        <v>163965822.97</v>
      </c>
      <c r="Z31" s="273"/>
      <c r="AA31" s="290" t="s">
        <v>145</v>
      </c>
      <c r="AB31" s="276"/>
      <c r="AC31" s="308">
        <v>103092783.51000001</v>
      </c>
      <c r="AD31" s="206">
        <v>45981</v>
      </c>
      <c r="AE31" s="207">
        <v>1816</v>
      </c>
      <c r="AF31" s="208">
        <v>100154.25</v>
      </c>
      <c r="AG31" s="276"/>
      <c r="AH31" s="276"/>
      <c r="AI31" s="276"/>
      <c r="AJ31" s="149"/>
      <c r="AK31" s="65"/>
      <c r="AL31" s="150"/>
      <c r="AM31" s="151"/>
      <c r="AN31" s="152"/>
      <c r="AO31" s="152"/>
      <c r="AP31" s="152"/>
      <c r="AQ31" s="152"/>
      <c r="AR31" s="152"/>
      <c r="AS31" s="119"/>
      <c r="AT31" s="119"/>
      <c r="AU31" s="119"/>
      <c r="AV31" s="119"/>
      <c r="AW31" s="119"/>
      <c r="AX31" s="282"/>
      <c r="AY31" s="153"/>
      <c r="AZ31" s="273"/>
      <c r="BA31" s="154"/>
      <c r="BB31" s="6"/>
      <c r="BC31" s="6"/>
      <c r="BD31" s="6"/>
    </row>
    <row r="32" spans="1:56" ht="15.75" x14ac:dyDescent="0.25">
      <c r="A32" s="332"/>
      <c r="B32" s="281"/>
      <c r="C32" s="281"/>
      <c r="D32" s="319"/>
      <c r="E32" s="285"/>
      <c r="F32" s="285"/>
      <c r="G32" s="285"/>
      <c r="H32" s="285"/>
      <c r="I32" s="301"/>
      <c r="J32" s="303"/>
      <c r="K32" s="296"/>
      <c r="L32" s="299"/>
      <c r="M32" s="301"/>
      <c r="N32" s="301"/>
      <c r="O32" s="321"/>
      <c r="P32" s="322"/>
      <c r="Q32" s="322"/>
      <c r="R32" s="322"/>
      <c r="S32" s="322"/>
      <c r="T32" s="321"/>
      <c r="U32" s="322"/>
      <c r="V32" s="333"/>
      <c r="W32" s="326"/>
      <c r="X32" s="285"/>
      <c r="Y32" s="272"/>
      <c r="Z32" s="285"/>
      <c r="AA32" s="326"/>
      <c r="AB32" s="301"/>
      <c r="AC32" s="309"/>
      <c r="AD32" s="206">
        <v>45981</v>
      </c>
      <c r="AE32" s="207">
        <v>1817</v>
      </c>
      <c r="AF32" s="208">
        <v>321642.36</v>
      </c>
      <c r="AG32" s="276"/>
      <c r="AH32" s="276"/>
      <c r="AI32" s="276"/>
      <c r="AJ32" s="149"/>
      <c r="AK32" s="65"/>
      <c r="AL32" s="150"/>
      <c r="AM32" s="151"/>
      <c r="AN32" s="152"/>
      <c r="AO32" s="152"/>
      <c r="AP32" s="152"/>
      <c r="AQ32" s="152"/>
      <c r="AR32" s="152"/>
      <c r="AS32" s="119"/>
      <c r="AT32" s="119"/>
      <c r="AU32" s="119"/>
      <c r="AV32" s="119"/>
      <c r="AW32" s="119"/>
      <c r="AX32" s="283"/>
      <c r="AY32" s="153"/>
      <c r="AZ32" s="285"/>
      <c r="BA32" s="154"/>
      <c r="BB32" s="6"/>
      <c r="BC32" s="6"/>
      <c r="BD32" s="6"/>
    </row>
    <row r="33" spans="1:56" ht="15.75" x14ac:dyDescent="0.25">
      <c r="A33" s="332"/>
      <c r="B33" s="281"/>
      <c r="C33" s="281"/>
      <c r="D33" s="319"/>
      <c r="E33" s="285"/>
      <c r="F33" s="285"/>
      <c r="G33" s="285"/>
      <c r="H33" s="285"/>
      <c r="I33" s="301"/>
      <c r="J33" s="303"/>
      <c r="K33" s="296"/>
      <c r="L33" s="299"/>
      <c r="M33" s="301"/>
      <c r="N33" s="301"/>
      <c r="O33" s="321"/>
      <c r="P33" s="322"/>
      <c r="Q33" s="322"/>
      <c r="R33" s="322"/>
      <c r="S33" s="322"/>
      <c r="T33" s="321"/>
      <c r="U33" s="322"/>
      <c r="V33" s="333"/>
      <c r="W33" s="326"/>
      <c r="X33" s="285"/>
      <c r="Y33" s="272"/>
      <c r="Z33" s="285"/>
      <c r="AA33" s="326"/>
      <c r="AB33" s="301"/>
      <c r="AC33" s="309"/>
      <c r="AD33" s="206">
        <v>45981</v>
      </c>
      <c r="AE33" s="207">
        <v>1818</v>
      </c>
      <c r="AF33" s="208">
        <v>717335.75</v>
      </c>
      <c r="AG33" s="276"/>
      <c r="AH33" s="276"/>
      <c r="AI33" s="276"/>
      <c r="AJ33" s="149"/>
      <c r="AK33" s="65"/>
      <c r="AL33" s="150"/>
      <c r="AM33" s="151"/>
      <c r="AN33" s="152"/>
      <c r="AO33" s="152"/>
      <c r="AP33" s="152"/>
      <c r="AQ33" s="152"/>
      <c r="AR33" s="152"/>
      <c r="AS33" s="119"/>
      <c r="AT33" s="119"/>
      <c r="AU33" s="119"/>
      <c r="AV33" s="119"/>
      <c r="AW33" s="119"/>
      <c r="AX33" s="283"/>
      <c r="AY33" s="153"/>
      <c r="AZ33" s="285"/>
      <c r="BA33" s="154"/>
      <c r="BB33" s="6"/>
      <c r="BC33" s="6"/>
      <c r="BD33" s="6"/>
    </row>
    <row r="34" spans="1:56" ht="15.75" x14ac:dyDescent="0.25">
      <c r="A34" s="332"/>
      <c r="B34" s="281"/>
      <c r="C34" s="281"/>
      <c r="D34" s="319"/>
      <c r="E34" s="285"/>
      <c r="F34" s="285"/>
      <c r="G34" s="285"/>
      <c r="H34" s="285"/>
      <c r="I34" s="301"/>
      <c r="J34" s="303"/>
      <c r="K34" s="296"/>
      <c r="L34" s="299"/>
      <c r="M34" s="301"/>
      <c r="N34" s="301"/>
      <c r="O34" s="321"/>
      <c r="P34" s="322"/>
      <c r="Q34" s="322"/>
      <c r="R34" s="322"/>
      <c r="S34" s="322"/>
      <c r="T34" s="321"/>
      <c r="U34" s="322"/>
      <c r="V34" s="333"/>
      <c r="W34" s="326"/>
      <c r="X34" s="285"/>
      <c r="Y34" s="272"/>
      <c r="Z34" s="285"/>
      <c r="AA34" s="326"/>
      <c r="AB34" s="301"/>
      <c r="AC34" s="309"/>
      <c r="AD34" s="206">
        <v>45981</v>
      </c>
      <c r="AE34" s="207">
        <v>1819</v>
      </c>
      <c r="AF34" s="208">
        <v>235181.75</v>
      </c>
      <c r="AG34" s="276"/>
      <c r="AH34" s="276"/>
      <c r="AI34" s="276"/>
      <c r="AJ34" s="149"/>
      <c r="AK34" s="65"/>
      <c r="AL34" s="150"/>
      <c r="AM34" s="151"/>
      <c r="AN34" s="152"/>
      <c r="AO34" s="152"/>
      <c r="AP34" s="152"/>
      <c r="AQ34" s="152"/>
      <c r="AR34" s="152"/>
      <c r="AS34" s="119"/>
      <c r="AT34" s="119"/>
      <c r="AU34" s="119"/>
      <c r="AV34" s="119"/>
      <c r="AW34" s="119"/>
      <c r="AX34" s="283"/>
      <c r="AY34" s="153"/>
      <c r="AZ34" s="285"/>
      <c r="BA34" s="154"/>
      <c r="BB34" s="6"/>
      <c r="BC34" s="6"/>
      <c r="BD34" s="6"/>
    </row>
    <row r="35" spans="1:56" ht="15.75" x14ac:dyDescent="0.25">
      <c r="A35" s="332"/>
      <c r="B35" s="281"/>
      <c r="C35" s="281"/>
      <c r="D35" s="319"/>
      <c r="E35" s="285"/>
      <c r="F35" s="285"/>
      <c r="G35" s="285"/>
      <c r="H35" s="285"/>
      <c r="I35" s="301"/>
      <c r="J35" s="303"/>
      <c r="K35" s="296"/>
      <c r="L35" s="299"/>
      <c r="M35" s="301"/>
      <c r="N35" s="301"/>
      <c r="O35" s="321"/>
      <c r="P35" s="322"/>
      <c r="Q35" s="322"/>
      <c r="R35" s="322"/>
      <c r="S35" s="322"/>
      <c r="T35" s="321"/>
      <c r="U35" s="322"/>
      <c r="V35" s="333"/>
      <c r="W35" s="326"/>
      <c r="X35" s="285"/>
      <c r="Y35" s="272"/>
      <c r="Z35" s="285"/>
      <c r="AA35" s="326"/>
      <c r="AB35" s="301"/>
      <c r="AC35" s="309"/>
      <c r="AD35" s="206">
        <v>45981</v>
      </c>
      <c r="AE35" s="207">
        <v>1820</v>
      </c>
      <c r="AF35" s="208">
        <v>2155384.08</v>
      </c>
      <c r="AG35" s="276"/>
      <c r="AH35" s="276"/>
      <c r="AI35" s="276"/>
      <c r="AJ35" s="149"/>
      <c r="AK35" s="65"/>
      <c r="AL35" s="150"/>
      <c r="AM35" s="151"/>
      <c r="AN35" s="152"/>
      <c r="AO35" s="152"/>
      <c r="AP35" s="152"/>
      <c r="AQ35" s="152"/>
      <c r="AR35" s="152"/>
      <c r="AS35" s="119"/>
      <c r="AT35" s="119"/>
      <c r="AU35" s="119"/>
      <c r="AV35" s="119"/>
      <c r="AW35" s="119"/>
      <c r="AX35" s="283"/>
      <c r="AY35" s="153"/>
      <c r="AZ35" s="285"/>
      <c r="BA35" s="154"/>
      <c r="BB35" s="6"/>
      <c r="BC35" s="6"/>
      <c r="BD35" s="6"/>
    </row>
    <row r="36" spans="1:56" ht="15.75" x14ac:dyDescent="0.25">
      <c r="A36" s="332"/>
      <c r="B36" s="281"/>
      <c r="C36" s="281"/>
      <c r="D36" s="319"/>
      <c r="E36" s="285"/>
      <c r="F36" s="285"/>
      <c r="G36" s="285"/>
      <c r="H36" s="285"/>
      <c r="I36" s="301"/>
      <c r="J36" s="303"/>
      <c r="K36" s="296"/>
      <c r="L36" s="299"/>
      <c r="M36" s="301"/>
      <c r="N36" s="301"/>
      <c r="O36" s="321"/>
      <c r="P36" s="322"/>
      <c r="Q36" s="322"/>
      <c r="R36" s="322"/>
      <c r="S36" s="322"/>
      <c r="T36" s="321"/>
      <c r="U36" s="322"/>
      <c r="V36" s="333"/>
      <c r="W36" s="326"/>
      <c r="X36" s="285"/>
      <c r="Y36" s="272"/>
      <c r="Z36" s="285"/>
      <c r="AA36" s="326"/>
      <c r="AB36" s="301"/>
      <c r="AC36" s="309"/>
      <c r="AD36" s="206">
        <v>45981</v>
      </c>
      <c r="AE36" s="207">
        <v>1821</v>
      </c>
      <c r="AF36" s="208">
        <v>33677338.719999999</v>
      </c>
      <c r="AG36" s="276"/>
      <c r="AH36" s="276"/>
      <c r="AI36" s="276"/>
      <c r="AJ36" s="149"/>
      <c r="AK36" s="65"/>
      <c r="AL36" s="150"/>
      <c r="AM36" s="151"/>
      <c r="AN36" s="152"/>
      <c r="AO36" s="152"/>
      <c r="AP36" s="152"/>
      <c r="AQ36" s="152"/>
      <c r="AR36" s="152"/>
      <c r="AS36" s="119"/>
      <c r="AT36" s="119"/>
      <c r="AU36" s="119"/>
      <c r="AV36" s="119"/>
      <c r="AW36" s="119"/>
      <c r="AX36" s="283"/>
      <c r="AY36" s="153"/>
      <c r="AZ36" s="285"/>
      <c r="BA36" s="154"/>
      <c r="BB36" s="6"/>
      <c r="BC36" s="6"/>
      <c r="BD36" s="6"/>
    </row>
    <row r="37" spans="1:56" ht="15.75" x14ac:dyDescent="0.25">
      <c r="A37" s="332"/>
      <c r="B37" s="281"/>
      <c r="C37" s="281"/>
      <c r="D37" s="319"/>
      <c r="E37" s="285"/>
      <c r="F37" s="285"/>
      <c r="G37" s="285"/>
      <c r="H37" s="285"/>
      <c r="I37" s="301"/>
      <c r="J37" s="303"/>
      <c r="K37" s="296"/>
      <c r="L37" s="299"/>
      <c r="M37" s="301"/>
      <c r="N37" s="301"/>
      <c r="O37" s="321"/>
      <c r="P37" s="322"/>
      <c r="Q37" s="322"/>
      <c r="R37" s="322"/>
      <c r="S37" s="322"/>
      <c r="T37" s="321"/>
      <c r="U37" s="322"/>
      <c r="V37" s="333"/>
      <c r="W37" s="326"/>
      <c r="X37" s="285"/>
      <c r="Y37" s="272"/>
      <c r="Z37" s="285"/>
      <c r="AA37" s="326"/>
      <c r="AB37" s="301"/>
      <c r="AC37" s="309"/>
      <c r="AD37" s="206">
        <v>45981</v>
      </c>
      <c r="AE37" s="207">
        <v>1822</v>
      </c>
      <c r="AF37" s="208">
        <v>4616009.0199999996</v>
      </c>
      <c r="AG37" s="276"/>
      <c r="AH37" s="276"/>
      <c r="AI37" s="276"/>
      <c r="AJ37" s="149"/>
      <c r="AK37" s="65"/>
      <c r="AL37" s="150"/>
      <c r="AM37" s="151"/>
      <c r="AN37" s="152"/>
      <c r="AO37" s="152"/>
      <c r="AP37" s="152"/>
      <c r="AQ37" s="152"/>
      <c r="AR37" s="152"/>
      <c r="AS37" s="119"/>
      <c r="AT37" s="119"/>
      <c r="AU37" s="119"/>
      <c r="AV37" s="119"/>
      <c r="AW37" s="119"/>
      <c r="AX37" s="283"/>
      <c r="AY37" s="153"/>
      <c r="AZ37" s="285"/>
      <c r="BA37" s="154"/>
      <c r="BB37" s="6"/>
      <c r="BC37" s="6"/>
      <c r="BD37" s="6"/>
    </row>
    <row r="38" spans="1:56" ht="15.75" x14ac:dyDescent="0.25">
      <c r="A38" s="332"/>
      <c r="B38" s="281"/>
      <c r="C38" s="281"/>
      <c r="D38" s="319"/>
      <c r="E38" s="285"/>
      <c r="F38" s="285"/>
      <c r="G38" s="285"/>
      <c r="H38" s="285"/>
      <c r="I38" s="301"/>
      <c r="J38" s="303"/>
      <c r="K38" s="296"/>
      <c r="L38" s="299"/>
      <c r="M38" s="301"/>
      <c r="N38" s="301"/>
      <c r="O38" s="321"/>
      <c r="P38" s="322"/>
      <c r="Q38" s="322"/>
      <c r="R38" s="322"/>
      <c r="S38" s="322"/>
      <c r="T38" s="321"/>
      <c r="U38" s="322"/>
      <c r="V38" s="333"/>
      <c r="W38" s="326"/>
      <c r="X38" s="285"/>
      <c r="Y38" s="272"/>
      <c r="Z38" s="285"/>
      <c r="AA38" s="326"/>
      <c r="AB38" s="301"/>
      <c r="AC38" s="309"/>
      <c r="AD38" s="206">
        <v>45981</v>
      </c>
      <c r="AE38" s="207">
        <v>1823</v>
      </c>
      <c r="AF38" s="208">
        <v>9835</v>
      </c>
      <c r="AG38" s="276"/>
      <c r="AH38" s="276"/>
      <c r="AI38" s="276"/>
      <c r="AJ38" s="149"/>
      <c r="AK38" s="65"/>
      <c r="AL38" s="150"/>
      <c r="AM38" s="151"/>
      <c r="AN38" s="152"/>
      <c r="AO38" s="152"/>
      <c r="AP38" s="152"/>
      <c r="AQ38" s="152"/>
      <c r="AR38" s="152"/>
      <c r="AS38" s="119"/>
      <c r="AT38" s="119"/>
      <c r="AU38" s="119"/>
      <c r="AV38" s="119"/>
      <c r="AW38" s="119"/>
      <c r="AX38" s="283"/>
      <c r="AY38" s="153"/>
      <c r="AZ38" s="285"/>
      <c r="BA38" s="154"/>
      <c r="BB38" s="6"/>
      <c r="BC38" s="6"/>
      <c r="BD38" s="6"/>
    </row>
    <row r="39" spans="1:56" ht="15.75" x14ac:dyDescent="0.25">
      <c r="A39" s="332"/>
      <c r="B39" s="281"/>
      <c r="C39" s="281"/>
      <c r="D39" s="319"/>
      <c r="E39" s="285"/>
      <c r="F39" s="285"/>
      <c r="G39" s="285"/>
      <c r="H39" s="285"/>
      <c r="I39" s="301"/>
      <c r="J39" s="303"/>
      <c r="K39" s="296"/>
      <c r="L39" s="299"/>
      <c r="M39" s="301"/>
      <c r="N39" s="301"/>
      <c r="O39" s="321"/>
      <c r="P39" s="322"/>
      <c r="Q39" s="322"/>
      <c r="R39" s="322"/>
      <c r="S39" s="322"/>
      <c r="T39" s="321"/>
      <c r="U39" s="322"/>
      <c r="V39" s="333"/>
      <c r="W39" s="326"/>
      <c r="X39" s="285"/>
      <c r="Y39" s="272"/>
      <c r="Z39" s="285"/>
      <c r="AA39" s="326"/>
      <c r="AB39" s="301"/>
      <c r="AC39" s="309"/>
      <c r="AD39" s="206">
        <v>45981</v>
      </c>
      <c r="AE39" s="207">
        <v>1824</v>
      </c>
      <c r="AF39" s="208">
        <v>38384574.909999996</v>
      </c>
      <c r="AG39" s="276"/>
      <c r="AH39" s="276"/>
      <c r="AI39" s="276"/>
      <c r="AJ39" s="149"/>
      <c r="AK39" s="65"/>
      <c r="AL39" s="150"/>
      <c r="AM39" s="151"/>
      <c r="AN39" s="152"/>
      <c r="AO39" s="152"/>
      <c r="AP39" s="152"/>
      <c r="AQ39" s="152"/>
      <c r="AR39" s="152"/>
      <c r="AS39" s="119"/>
      <c r="AT39" s="119"/>
      <c r="AU39" s="119"/>
      <c r="AV39" s="119"/>
      <c r="AW39" s="119"/>
      <c r="AX39" s="283"/>
      <c r="AY39" s="153"/>
      <c r="AZ39" s="285"/>
      <c r="BA39" s="154"/>
      <c r="BB39" s="6"/>
      <c r="BC39" s="6"/>
      <c r="BD39" s="6"/>
    </row>
    <row r="40" spans="1:56" ht="15.75" x14ac:dyDescent="0.25">
      <c r="A40" s="332"/>
      <c r="B40" s="281"/>
      <c r="C40" s="281"/>
      <c r="D40" s="319"/>
      <c r="E40" s="285"/>
      <c r="F40" s="285"/>
      <c r="G40" s="285"/>
      <c r="H40" s="285"/>
      <c r="I40" s="301"/>
      <c r="J40" s="303"/>
      <c r="K40" s="296"/>
      <c r="L40" s="299"/>
      <c r="M40" s="301"/>
      <c r="N40" s="301"/>
      <c r="O40" s="321"/>
      <c r="P40" s="322"/>
      <c r="Q40" s="322"/>
      <c r="R40" s="322"/>
      <c r="S40" s="322"/>
      <c r="T40" s="321"/>
      <c r="U40" s="322"/>
      <c r="V40" s="333"/>
      <c r="W40" s="326"/>
      <c r="X40" s="285"/>
      <c r="Y40" s="272"/>
      <c r="Z40" s="285"/>
      <c r="AA40" s="326"/>
      <c r="AB40" s="301"/>
      <c r="AC40" s="309"/>
      <c r="AD40" s="206">
        <v>45981</v>
      </c>
      <c r="AE40" s="207">
        <v>1825</v>
      </c>
      <c r="AF40" s="208">
        <v>10152023.49</v>
      </c>
      <c r="AG40" s="276"/>
      <c r="AH40" s="276"/>
      <c r="AI40" s="276"/>
      <c r="AJ40" s="149"/>
      <c r="AK40" s="65"/>
      <c r="AL40" s="150"/>
      <c r="AM40" s="151"/>
      <c r="AN40" s="152"/>
      <c r="AO40" s="152"/>
      <c r="AP40" s="152"/>
      <c r="AQ40" s="152"/>
      <c r="AR40" s="152"/>
      <c r="AS40" s="119"/>
      <c r="AT40" s="119"/>
      <c r="AU40" s="119"/>
      <c r="AV40" s="119"/>
      <c r="AW40" s="119"/>
      <c r="AX40" s="283"/>
      <c r="AY40" s="153"/>
      <c r="AZ40" s="285"/>
      <c r="BA40" s="154"/>
      <c r="BB40" s="6"/>
      <c r="BC40" s="6"/>
      <c r="BD40" s="6"/>
    </row>
    <row r="41" spans="1:56" ht="15.75" x14ac:dyDescent="0.25">
      <c r="A41" s="332"/>
      <c r="B41" s="281"/>
      <c r="C41" s="281"/>
      <c r="D41" s="319"/>
      <c r="E41" s="285"/>
      <c r="F41" s="285"/>
      <c r="G41" s="285"/>
      <c r="H41" s="285"/>
      <c r="I41" s="301"/>
      <c r="J41" s="303"/>
      <c r="K41" s="296"/>
      <c r="L41" s="299"/>
      <c r="M41" s="301"/>
      <c r="N41" s="301"/>
      <c r="O41" s="321"/>
      <c r="P41" s="322"/>
      <c r="Q41" s="322"/>
      <c r="R41" s="322"/>
      <c r="S41" s="322"/>
      <c r="T41" s="321"/>
      <c r="U41" s="322"/>
      <c r="V41" s="333"/>
      <c r="W41" s="326"/>
      <c r="X41" s="285"/>
      <c r="Y41" s="272"/>
      <c r="Z41" s="285"/>
      <c r="AA41" s="326"/>
      <c r="AB41" s="301"/>
      <c r="AC41" s="309"/>
      <c r="AD41" s="206">
        <v>45981</v>
      </c>
      <c r="AE41" s="207">
        <v>1826</v>
      </c>
      <c r="AF41" s="208">
        <v>1766179.46</v>
      </c>
      <c r="AG41" s="276"/>
      <c r="AH41" s="276"/>
      <c r="AI41" s="276"/>
      <c r="AJ41" s="149"/>
      <c r="AK41" s="65"/>
      <c r="AL41" s="150"/>
      <c r="AM41" s="151"/>
      <c r="AN41" s="152"/>
      <c r="AO41" s="152"/>
      <c r="AP41" s="152"/>
      <c r="AQ41" s="152"/>
      <c r="AR41" s="152"/>
      <c r="AS41" s="119"/>
      <c r="AT41" s="119"/>
      <c r="AU41" s="119"/>
      <c r="AV41" s="119"/>
      <c r="AW41" s="119"/>
      <c r="AX41" s="283"/>
      <c r="AY41" s="153"/>
      <c r="AZ41" s="285"/>
      <c r="BA41" s="154"/>
      <c r="BB41" s="6"/>
      <c r="BC41" s="6"/>
      <c r="BD41" s="6"/>
    </row>
    <row r="42" spans="1:56" ht="15.75" x14ac:dyDescent="0.25">
      <c r="A42" s="332"/>
      <c r="B42" s="281"/>
      <c r="C42" s="281"/>
      <c r="D42" s="319"/>
      <c r="E42" s="285"/>
      <c r="F42" s="285"/>
      <c r="G42" s="285"/>
      <c r="H42" s="285"/>
      <c r="I42" s="301"/>
      <c r="J42" s="303"/>
      <c r="K42" s="296"/>
      <c r="L42" s="299"/>
      <c r="M42" s="301"/>
      <c r="N42" s="301"/>
      <c r="O42" s="321"/>
      <c r="P42" s="322"/>
      <c r="Q42" s="322"/>
      <c r="R42" s="322"/>
      <c r="S42" s="322"/>
      <c r="T42" s="321"/>
      <c r="U42" s="322"/>
      <c r="V42" s="333"/>
      <c r="W42" s="326"/>
      <c r="X42" s="285"/>
      <c r="Y42" s="272"/>
      <c r="Z42" s="285"/>
      <c r="AA42" s="326"/>
      <c r="AB42" s="301"/>
      <c r="AC42" s="309"/>
      <c r="AD42" s="206">
        <v>45981</v>
      </c>
      <c r="AE42" s="207">
        <v>1827</v>
      </c>
      <c r="AF42" s="208">
        <v>1293448.8</v>
      </c>
      <c r="AG42" s="276"/>
      <c r="AH42" s="276"/>
      <c r="AI42" s="276"/>
      <c r="AJ42" s="149"/>
      <c r="AK42" s="65"/>
      <c r="AL42" s="150"/>
      <c r="AM42" s="151"/>
      <c r="AN42" s="152"/>
      <c r="AO42" s="152"/>
      <c r="AP42" s="152"/>
      <c r="AQ42" s="152"/>
      <c r="AR42" s="152"/>
      <c r="AS42" s="119"/>
      <c r="AT42" s="119"/>
      <c r="AU42" s="119"/>
      <c r="AV42" s="119"/>
      <c r="AW42" s="119"/>
      <c r="AX42" s="283"/>
      <c r="AY42" s="153"/>
      <c r="AZ42" s="285"/>
      <c r="BA42" s="154"/>
      <c r="BB42" s="6"/>
      <c r="BC42" s="6"/>
      <c r="BD42" s="6"/>
    </row>
    <row r="43" spans="1:56" ht="15.75" x14ac:dyDescent="0.25">
      <c r="A43" s="332"/>
      <c r="B43" s="281"/>
      <c r="C43" s="281"/>
      <c r="D43" s="319"/>
      <c r="E43" s="285"/>
      <c r="F43" s="285"/>
      <c r="G43" s="285"/>
      <c r="H43" s="285"/>
      <c r="I43" s="301"/>
      <c r="J43" s="303"/>
      <c r="K43" s="296"/>
      <c r="L43" s="299"/>
      <c r="M43" s="301"/>
      <c r="N43" s="301"/>
      <c r="O43" s="321"/>
      <c r="P43" s="322"/>
      <c r="Q43" s="322"/>
      <c r="R43" s="322"/>
      <c r="S43" s="322"/>
      <c r="T43" s="321"/>
      <c r="U43" s="322"/>
      <c r="V43" s="333"/>
      <c r="W43" s="326"/>
      <c r="X43" s="285"/>
      <c r="Y43" s="272"/>
      <c r="Z43" s="285"/>
      <c r="AA43" s="326"/>
      <c r="AB43" s="301"/>
      <c r="AC43" s="309"/>
      <c r="AD43" s="206">
        <v>45981</v>
      </c>
      <c r="AE43" s="207">
        <v>1828</v>
      </c>
      <c r="AF43" s="208">
        <v>832149.11</v>
      </c>
      <c r="AG43" s="276"/>
      <c r="AH43" s="276"/>
      <c r="AI43" s="276"/>
      <c r="AJ43" s="149"/>
      <c r="AK43" s="65"/>
      <c r="AL43" s="150"/>
      <c r="AM43" s="151"/>
      <c r="AN43" s="152"/>
      <c r="AO43" s="152"/>
      <c r="AP43" s="152"/>
      <c r="AQ43" s="152"/>
      <c r="AR43" s="152"/>
      <c r="AS43" s="119"/>
      <c r="AT43" s="119"/>
      <c r="AU43" s="119"/>
      <c r="AV43" s="119"/>
      <c r="AW43" s="119"/>
      <c r="AX43" s="283"/>
      <c r="AY43" s="153"/>
      <c r="AZ43" s="285"/>
      <c r="BA43" s="154"/>
      <c r="BB43" s="6"/>
      <c r="BC43" s="6"/>
      <c r="BD43" s="6"/>
    </row>
    <row r="44" spans="1:56" ht="15.75" x14ac:dyDescent="0.25">
      <c r="A44" s="332"/>
      <c r="B44" s="281"/>
      <c r="C44" s="281"/>
      <c r="D44" s="319"/>
      <c r="E44" s="285"/>
      <c r="F44" s="285"/>
      <c r="G44" s="285"/>
      <c r="H44" s="285"/>
      <c r="I44" s="301"/>
      <c r="J44" s="303"/>
      <c r="K44" s="296"/>
      <c r="L44" s="299"/>
      <c r="M44" s="301"/>
      <c r="N44" s="301"/>
      <c r="O44" s="321"/>
      <c r="P44" s="322"/>
      <c r="Q44" s="322"/>
      <c r="R44" s="322"/>
      <c r="S44" s="322"/>
      <c r="T44" s="321"/>
      <c r="U44" s="322"/>
      <c r="V44" s="333"/>
      <c r="W44" s="326"/>
      <c r="X44" s="285"/>
      <c r="Y44" s="272"/>
      <c r="Z44" s="285"/>
      <c r="AA44" s="326"/>
      <c r="AB44" s="301"/>
      <c r="AC44" s="309"/>
      <c r="AD44" s="206">
        <v>45981</v>
      </c>
      <c r="AE44" s="207">
        <v>1829</v>
      </c>
      <c r="AF44" s="208">
        <v>2093928.86</v>
      </c>
      <c r="AG44" s="276"/>
      <c r="AH44" s="276"/>
      <c r="AI44" s="276"/>
      <c r="AJ44" s="149"/>
      <c r="AK44" s="65"/>
      <c r="AL44" s="150"/>
      <c r="AM44" s="151"/>
      <c r="AN44" s="152"/>
      <c r="AO44" s="152"/>
      <c r="AP44" s="152"/>
      <c r="AQ44" s="152"/>
      <c r="AR44" s="152"/>
      <c r="AS44" s="119"/>
      <c r="AT44" s="119"/>
      <c r="AU44" s="119"/>
      <c r="AV44" s="119"/>
      <c r="AW44" s="119"/>
      <c r="AX44" s="283"/>
      <c r="AY44" s="153"/>
      <c r="AZ44" s="285"/>
      <c r="BA44" s="154"/>
      <c r="BB44" s="6"/>
      <c r="BC44" s="6"/>
      <c r="BD44" s="6"/>
    </row>
    <row r="45" spans="1:56" ht="15.75" x14ac:dyDescent="0.25">
      <c r="A45" s="332"/>
      <c r="B45" s="281"/>
      <c r="C45" s="281"/>
      <c r="D45" s="319"/>
      <c r="E45" s="285"/>
      <c r="F45" s="285"/>
      <c r="G45" s="285"/>
      <c r="H45" s="285"/>
      <c r="I45" s="301"/>
      <c r="J45" s="303"/>
      <c r="K45" s="296"/>
      <c r="L45" s="299"/>
      <c r="M45" s="301"/>
      <c r="N45" s="301"/>
      <c r="O45" s="321"/>
      <c r="P45" s="322"/>
      <c r="Q45" s="322"/>
      <c r="R45" s="322"/>
      <c r="S45" s="322"/>
      <c r="T45" s="321"/>
      <c r="U45" s="322"/>
      <c r="V45" s="333"/>
      <c r="W45" s="326"/>
      <c r="X45" s="285"/>
      <c r="Y45" s="272"/>
      <c r="Z45" s="285"/>
      <c r="AA45" s="326"/>
      <c r="AB45" s="301"/>
      <c r="AC45" s="309"/>
      <c r="AD45" s="206">
        <v>45981</v>
      </c>
      <c r="AE45" s="207">
        <v>1830</v>
      </c>
      <c r="AF45" s="208">
        <v>4987635.42</v>
      </c>
      <c r="AG45" s="276"/>
      <c r="AH45" s="276"/>
      <c r="AI45" s="276"/>
      <c r="AJ45" s="149"/>
      <c r="AK45" s="65"/>
      <c r="AL45" s="150"/>
      <c r="AM45" s="151"/>
      <c r="AN45" s="152"/>
      <c r="AO45" s="152"/>
      <c r="AP45" s="152"/>
      <c r="AQ45" s="152"/>
      <c r="AR45" s="152"/>
      <c r="AS45" s="119"/>
      <c r="AT45" s="119"/>
      <c r="AU45" s="119"/>
      <c r="AV45" s="119"/>
      <c r="AW45" s="119"/>
      <c r="AX45" s="283"/>
      <c r="AY45" s="153"/>
      <c r="AZ45" s="285"/>
      <c r="BA45" s="154"/>
      <c r="BB45" s="6"/>
      <c r="BC45" s="6"/>
      <c r="BD45" s="6"/>
    </row>
    <row r="46" spans="1:56" ht="15.75" x14ac:dyDescent="0.25">
      <c r="A46" s="332"/>
      <c r="B46" s="281"/>
      <c r="C46" s="281"/>
      <c r="D46" s="319"/>
      <c r="E46" s="285"/>
      <c r="F46" s="285"/>
      <c r="G46" s="285"/>
      <c r="H46" s="285"/>
      <c r="I46" s="301"/>
      <c r="J46" s="303"/>
      <c r="K46" s="296"/>
      <c r="L46" s="299"/>
      <c r="M46" s="301"/>
      <c r="N46" s="301"/>
      <c r="O46" s="321"/>
      <c r="P46" s="322"/>
      <c r="Q46" s="322"/>
      <c r="R46" s="322"/>
      <c r="S46" s="322"/>
      <c r="T46" s="321"/>
      <c r="U46" s="322"/>
      <c r="V46" s="333"/>
      <c r="W46" s="326"/>
      <c r="X46" s="274"/>
      <c r="Y46" s="272"/>
      <c r="Z46" s="274"/>
      <c r="AA46" s="326"/>
      <c r="AB46" s="301"/>
      <c r="AC46" s="309"/>
      <c r="AD46" s="206">
        <v>45981</v>
      </c>
      <c r="AE46" s="207">
        <v>1831</v>
      </c>
      <c r="AF46" s="208">
        <v>1749962.53</v>
      </c>
      <c r="AG46" s="276"/>
      <c r="AH46" s="276"/>
      <c r="AI46" s="276"/>
      <c r="AJ46" s="149"/>
      <c r="AK46" s="65"/>
      <c r="AL46" s="150"/>
      <c r="AM46" s="151"/>
      <c r="AN46" s="152"/>
      <c r="AO46" s="152"/>
      <c r="AP46" s="152"/>
      <c r="AQ46" s="152"/>
      <c r="AR46" s="152"/>
      <c r="AS46" s="119"/>
      <c r="AT46" s="119"/>
      <c r="AU46" s="119"/>
      <c r="AV46" s="119"/>
      <c r="AW46" s="119"/>
      <c r="AX46" s="283"/>
      <c r="AY46" s="153"/>
      <c r="AZ46" s="285"/>
      <c r="BA46" s="154"/>
      <c r="BB46" s="6"/>
      <c r="BC46" s="6"/>
      <c r="BD46" s="6"/>
    </row>
    <row r="47" spans="1:56" ht="15.75" x14ac:dyDescent="0.25">
      <c r="A47" s="332"/>
      <c r="B47" s="281"/>
      <c r="C47" s="281"/>
      <c r="D47" s="319"/>
      <c r="E47" s="285"/>
      <c r="F47" s="285"/>
      <c r="G47" s="285"/>
      <c r="H47" s="285"/>
      <c r="I47" s="301"/>
      <c r="J47" s="303"/>
      <c r="K47" s="296"/>
      <c r="L47" s="299"/>
      <c r="M47" s="301"/>
      <c r="N47" s="301"/>
      <c r="O47" s="321">
        <v>46003</v>
      </c>
      <c r="P47" s="322" t="s">
        <v>148</v>
      </c>
      <c r="Q47" s="322"/>
      <c r="R47" s="323">
        <v>60873039.460000001</v>
      </c>
      <c r="S47" s="322"/>
      <c r="T47" s="321"/>
      <c r="U47" s="322"/>
      <c r="V47" s="333"/>
      <c r="W47" s="323">
        <v>59333838.030000001</v>
      </c>
      <c r="X47" s="294"/>
      <c r="Y47" s="272"/>
      <c r="Z47" s="294"/>
      <c r="AA47" s="308">
        <v>60873039.460000001</v>
      </c>
      <c r="AB47" s="276"/>
      <c r="AC47" s="325">
        <v>32773039.460000001</v>
      </c>
      <c r="AD47" s="206">
        <v>45981</v>
      </c>
      <c r="AE47" s="207">
        <v>1832</v>
      </c>
      <c r="AF47" s="208">
        <v>5506115.25</v>
      </c>
      <c r="AG47" s="276"/>
      <c r="AH47" s="276"/>
      <c r="AI47" s="276"/>
      <c r="AJ47" s="149"/>
      <c r="AK47" s="65"/>
      <c r="AL47" s="150"/>
      <c r="AM47" s="151"/>
      <c r="AN47" s="152"/>
      <c r="AO47" s="152"/>
      <c r="AP47" s="152"/>
      <c r="AQ47" s="152"/>
      <c r="AR47" s="152"/>
      <c r="AS47" s="119"/>
      <c r="AT47" s="119"/>
      <c r="AU47" s="119"/>
      <c r="AV47" s="119"/>
      <c r="AW47" s="119"/>
      <c r="AX47" s="283"/>
      <c r="AY47" s="153"/>
      <c r="AZ47" s="285"/>
      <c r="BA47" s="154"/>
      <c r="BB47" s="6"/>
      <c r="BC47" s="6"/>
      <c r="BD47" s="6"/>
    </row>
    <row r="48" spans="1:56" ht="15.75" x14ac:dyDescent="0.25">
      <c r="A48" s="332"/>
      <c r="B48" s="281"/>
      <c r="C48" s="281"/>
      <c r="D48" s="319"/>
      <c r="E48" s="285"/>
      <c r="F48" s="285"/>
      <c r="G48" s="285"/>
      <c r="H48" s="285"/>
      <c r="I48" s="301"/>
      <c r="J48" s="303"/>
      <c r="K48" s="296"/>
      <c r="L48" s="299"/>
      <c r="M48" s="301"/>
      <c r="N48" s="301"/>
      <c r="O48" s="321"/>
      <c r="P48" s="322"/>
      <c r="Q48" s="322"/>
      <c r="R48" s="323"/>
      <c r="S48" s="322"/>
      <c r="T48" s="321"/>
      <c r="U48" s="322"/>
      <c r="V48" s="333"/>
      <c r="W48" s="323"/>
      <c r="X48" s="294"/>
      <c r="Y48" s="272"/>
      <c r="Z48" s="294"/>
      <c r="AA48" s="323"/>
      <c r="AB48" s="301"/>
      <c r="AC48" s="325"/>
      <c r="AD48" s="206">
        <v>45981</v>
      </c>
      <c r="AE48" s="207">
        <v>1833</v>
      </c>
      <c r="AF48" s="208">
        <v>1304908.3899999999</v>
      </c>
      <c r="AG48" s="276"/>
      <c r="AH48" s="276"/>
      <c r="AI48" s="276"/>
      <c r="AJ48" s="149"/>
      <c r="AK48" s="65"/>
      <c r="AL48" s="150"/>
      <c r="AM48" s="151"/>
      <c r="AN48" s="152"/>
      <c r="AO48" s="152"/>
      <c r="AP48" s="152"/>
      <c r="AQ48" s="152"/>
      <c r="AR48" s="152"/>
      <c r="AS48" s="119"/>
      <c r="AT48" s="119"/>
      <c r="AU48" s="119"/>
      <c r="AV48" s="119"/>
      <c r="AW48" s="119"/>
      <c r="AX48" s="283"/>
      <c r="AY48" s="153"/>
      <c r="AZ48" s="285"/>
      <c r="BA48" s="154"/>
      <c r="BB48" s="6"/>
      <c r="BC48" s="6"/>
      <c r="BD48" s="6"/>
    </row>
    <row r="49" spans="1:56" ht="15.75" x14ac:dyDescent="0.25">
      <c r="A49" s="332"/>
      <c r="B49" s="281"/>
      <c r="C49" s="281"/>
      <c r="D49" s="319"/>
      <c r="E49" s="285"/>
      <c r="F49" s="285"/>
      <c r="G49" s="285"/>
      <c r="H49" s="285"/>
      <c r="I49" s="301"/>
      <c r="J49" s="303"/>
      <c r="K49" s="296"/>
      <c r="L49" s="299"/>
      <c r="M49" s="301"/>
      <c r="N49" s="301"/>
      <c r="O49" s="321"/>
      <c r="P49" s="322"/>
      <c r="Q49" s="322"/>
      <c r="R49" s="323"/>
      <c r="S49" s="322"/>
      <c r="T49" s="321"/>
      <c r="U49" s="322"/>
      <c r="V49" s="333"/>
      <c r="W49" s="323"/>
      <c r="X49" s="294"/>
      <c r="Y49" s="272"/>
      <c r="Z49" s="294"/>
      <c r="AA49" s="323"/>
      <c r="AB49" s="301"/>
      <c r="AC49" s="325"/>
      <c r="AD49" s="206">
        <v>45981</v>
      </c>
      <c r="AE49" s="207">
        <v>1834</v>
      </c>
      <c r="AF49" s="208">
        <v>2556218.86</v>
      </c>
      <c r="AG49" s="276"/>
      <c r="AH49" s="276"/>
      <c r="AI49" s="276"/>
      <c r="AJ49" s="149"/>
      <c r="AK49" s="65"/>
      <c r="AL49" s="150"/>
      <c r="AM49" s="151"/>
      <c r="AN49" s="152"/>
      <c r="AO49" s="152"/>
      <c r="AP49" s="152"/>
      <c r="AQ49" s="152"/>
      <c r="AR49" s="152"/>
      <c r="AS49" s="119"/>
      <c r="AT49" s="119"/>
      <c r="AU49" s="119"/>
      <c r="AV49" s="119"/>
      <c r="AW49" s="119"/>
      <c r="AX49" s="283"/>
      <c r="AY49" s="153"/>
      <c r="AZ49" s="285"/>
      <c r="BA49" s="154"/>
      <c r="BB49" s="6"/>
      <c r="BC49" s="6"/>
      <c r="BD49" s="6"/>
    </row>
    <row r="50" spans="1:56" ht="15.75" x14ac:dyDescent="0.25">
      <c r="A50" s="332"/>
      <c r="B50" s="281"/>
      <c r="C50" s="281"/>
      <c r="D50" s="319"/>
      <c r="E50" s="285"/>
      <c r="F50" s="285"/>
      <c r="G50" s="285"/>
      <c r="H50" s="285"/>
      <c r="I50" s="301"/>
      <c r="J50" s="303"/>
      <c r="K50" s="296"/>
      <c r="L50" s="299"/>
      <c r="M50" s="301"/>
      <c r="N50" s="301"/>
      <c r="O50" s="321"/>
      <c r="P50" s="322"/>
      <c r="Q50" s="322"/>
      <c r="R50" s="323"/>
      <c r="S50" s="322"/>
      <c r="T50" s="321"/>
      <c r="U50" s="322"/>
      <c r="V50" s="333"/>
      <c r="W50" s="323"/>
      <c r="X50" s="294"/>
      <c r="Y50" s="272"/>
      <c r="Z50" s="294"/>
      <c r="AA50" s="323"/>
      <c r="AB50" s="301"/>
      <c r="AC50" s="325"/>
      <c r="AD50" s="206">
        <v>45981</v>
      </c>
      <c r="AE50" s="207">
        <v>1835</v>
      </c>
      <c r="AF50" s="208">
        <v>2781241.86</v>
      </c>
      <c r="AG50" s="276"/>
      <c r="AH50" s="276"/>
      <c r="AI50" s="276"/>
      <c r="AJ50" s="149"/>
      <c r="AK50" s="65"/>
      <c r="AL50" s="150"/>
      <c r="AM50" s="151"/>
      <c r="AN50" s="152"/>
      <c r="AO50" s="152"/>
      <c r="AP50" s="152"/>
      <c r="AQ50" s="152"/>
      <c r="AR50" s="152"/>
      <c r="AS50" s="119"/>
      <c r="AT50" s="119"/>
      <c r="AU50" s="119"/>
      <c r="AV50" s="119"/>
      <c r="AW50" s="119"/>
      <c r="AX50" s="283"/>
      <c r="AY50" s="153"/>
      <c r="AZ50" s="285"/>
      <c r="BA50" s="154"/>
      <c r="BB50" s="6"/>
      <c r="BC50" s="6"/>
      <c r="BD50" s="6"/>
    </row>
    <row r="51" spans="1:56" ht="15.75" x14ac:dyDescent="0.25">
      <c r="A51" s="332"/>
      <c r="B51" s="281"/>
      <c r="C51" s="281"/>
      <c r="D51" s="319"/>
      <c r="E51" s="285"/>
      <c r="F51" s="285"/>
      <c r="G51" s="285"/>
      <c r="H51" s="285"/>
      <c r="I51" s="301"/>
      <c r="J51" s="303"/>
      <c r="K51" s="296"/>
      <c r="L51" s="299"/>
      <c r="M51" s="301"/>
      <c r="N51" s="301"/>
      <c r="O51" s="321"/>
      <c r="P51" s="322"/>
      <c r="Q51" s="322"/>
      <c r="R51" s="323"/>
      <c r="S51" s="322"/>
      <c r="T51" s="321"/>
      <c r="U51" s="322"/>
      <c r="V51" s="333"/>
      <c r="W51" s="323"/>
      <c r="X51" s="294"/>
      <c r="Y51" s="272"/>
      <c r="Z51" s="294"/>
      <c r="AA51" s="323"/>
      <c r="AB51" s="301"/>
      <c r="AC51" s="325"/>
      <c r="AD51" s="206">
        <v>45981</v>
      </c>
      <c r="AE51" s="207">
        <v>1836</v>
      </c>
      <c r="AF51" s="208">
        <v>209861.65</v>
      </c>
      <c r="AG51" s="276"/>
      <c r="AH51" s="276"/>
      <c r="AI51" s="276"/>
      <c r="AJ51" s="149"/>
      <c r="AK51" s="65"/>
      <c r="AL51" s="150"/>
      <c r="AM51" s="151"/>
      <c r="AN51" s="152"/>
      <c r="AO51" s="152"/>
      <c r="AP51" s="152"/>
      <c r="AQ51" s="152"/>
      <c r="AR51" s="152"/>
      <c r="AS51" s="119"/>
      <c r="AT51" s="119"/>
      <c r="AU51" s="119"/>
      <c r="AV51" s="119"/>
      <c r="AW51" s="119"/>
      <c r="AX51" s="283"/>
      <c r="AY51" s="153"/>
      <c r="AZ51" s="285"/>
      <c r="BA51" s="154"/>
      <c r="BB51" s="6"/>
      <c r="BC51" s="6"/>
      <c r="BD51" s="6"/>
    </row>
    <row r="52" spans="1:56" ht="15.75" x14ac:dyDescent="0.25">
      <c r="A52" s="332"/>
      <c r="B52" s="281"/>
      <c r="C52" s="281"/>
      <c r="D52" s="319"/>
      <c r="E52" s="285"/>
      <c r="F52" s="285"/>
      <c r="G52" s="285"/>
      <c r="H52" s="285"/>
      <c r="I52" s="301"/>
      <c r="J52" s="303"/>
      <c r="K52" s="296"/>
      <c r="L52" s="299"/>
      <c r="M52" s="301"/>
      <c r="N52" s="301"/>
      <c r="O52" s="321"/>
      <c r="P52" s="322"/>
      <c r="Q52" s="322"/>
      <c r="R52" s="323"/>
      <c r="S52" s="322"/>
      <c r="T52" s="321"/>
      <c r="U52" s="322"/>
      <c r="V52" s="333"/>
      <c r="W52" s="323"/>
      <c r="X52" s="294"/>
      <c r="Y52" s="272"/>
      <c r="Z52" s="294"/>
      <c r="AA52" s="323"/>
      <c r="AB52" s="301"/>
      <c r="AC52" s="325"/>
      <c r="AD52" s="206">
        <v>45981</v>
      </c>
      <c r="AE52" s="207">
        <v>1837</v>
      </c>
      <c r="AF52" s="208">
        <v>825496.77</v>
      </c>
      <c r="AG52" s="276"/>
      <c r="AH52" s="276"/>
      <c r="AI52" s="276"/>
      <c r="AJ52" s="149"/>
      <c r="AK52" s="65"/>
      <c r="AL52" s="150"/>
      <c r="AM52" s="151"/>
      <c r="AN52" s="152"/>
      <c r="AO52" s="152"/>
      <c r="AP52" s="152"/>
      <c r="AQ52" s="152"/>
      <c r="AR52" s="152"/>
      <c r="AS52" s="119"/>
      <c r="AT52" s="119"/>
      <c r="AU52" s="119"/>
      <c r="AV52" s="119"/>
      <c r="AW52" s="119"/>
      <c r="AX52" s="283"/>
      <c r="AY52" s="153"/>
      <c r="AZ52" s="285"/>
      <c r="BA52" s="154"/>
      <c r="BB52" s="6"/>
      <c r="BC52" s="6"/>
      <c r="BD52" s="6"/>
    </row>
    <row r="53" spans="1:56" ht="15.75" x14ac:dyDescent="0.25">
      <c r="A53" s="332"/>
      <c r="B53" s="281"/>
      <c r="C53" s="281"/>
      <c r="D53" s="319"/>
      <c r="E53" s="285"/>
      <c r="F53" s="285"/>
      <c r="G53" s="285"/>
      <c r="H53" s="285"/>
      <c r="I53" s="301"/>
      <c r="J53" s="303"/>
      <c r="K53" s="296"/>
      <c r="L53" s="299"/>
      <c r="M53" s="301"/>
      <c r="N53" s="301"/>
      <c r="O53" s="321"/>
      <c r="P53" s="322"/>
      <c r="Q53" s="322"/>
      <c r="R53" s="323"/>
      <c r="S53" s="322"/>
      <c r="T53" s="321"/>
      <c r="U53" s="322"/>
      <c r="V53" s="333"/>
      <c r="W53" s="323"/>
      <c r="X53" s="294"/>
      <c r="Y53" s="272"/>
      <c r="Z53" s="294"/>
      <c r="AA53" s="323"/>
      <c r="AB53" s="301"/>
      <c r="AC53" s="325"/>
      <c r="AD53" s="206">
        <v>45981</v>
      </c>
      <c r="AE53" s="207">
        <v>1838</v>
      </c>
      <c r="AF53" s="208">
        <v>15909527.859999999</v>
      </c>
      <c r="AG53" s="276"/>
      <c r="AH53" s="276"/>
      <c r="AI53" s="276"/>
      <c r="AJ53" s="149"/>
      <c r="AK53" s="65"/>
      <c r="AL53" s="150"/>
      <c r="AM53" s="151"/>
      <c r="AN53" s="152"/>
      <c r="AO53" s="152"/>
      <c r="AP53" s="152"/>
      <c r="AQ53" s="152"/>
      <c r="AR53" s="152"/>
      <c r="AS53" s="119"/>
      <c r="AT53" s="119"/>
      <c r="AU53" s="119"/>
      <c r="AV53" s="119"/>
      <c r="AW53" s="119"/>
      <c r="AX53" s="283"/>
      <c r="AY53" s="153"/>
      <c r="AZ53" s="285"/>
      <c r="BA53" s="154"/>
      <c r="BB53" s="6"/>
      <c r="BC53" s="6"/>
      <c r="BD53" s="6"/>
    </row>
    <row r="54" spans="1:56" ht="15.75" x14ac:dyDescent="0.25">
      <c r="A54" s="332"/>
      <c r="B54" s="281"/>
      <c r="C54" s="281"/>
      <c r="D54" s="319"/>
      <c r="E54" s="285"/>
      <c r="F54" s="285"/>
      <c r="G54" s="285"/>
      <c r="H54" s="285"/>
      <c r="I54" s="301"/>
      <c r="J54" s="303"/>
      <c r="K54" s="296"/>
      <c r="L54" s="299"/>
      <c r="M54" s="301"/>
      <c r="N54" s="301"/>
      <c r="O54" s="321"/>
      <c r="P54" s="322"/>
      <c r="Q54" s="322"/>
      <c r="R54" s="323"/>
      <c r="S54" s="322"/>
      <c r="T54" s="321"/>
      <c r="U54" s="322"/>
      <c r="V54" s="333"/>
      <c r="W54" s="323"/>
      <c r="X54" s="294"/>
      <c r="Y54" s="272"/>
      <c r="Z54" s="294"/>
      <c r="AA54" s="323"/>
      <c r="AB54" s="301"/>
      <c r="AC54" s="325"/>
      <c r="AD54" s="209">
        <v>45981</v>
      </c>
      <c r="AE54" s="210">
        <v>1839</v>
      </c>
      <c r="AF54" s="208">
        <v>2077962.03</v>
      </c>
      <c r="AG54" s="276"/>
      <c r="AH54" s="276"/>
      <c r="AI54" s="276"/>
      <c r="AJ54" s="149"/>
      <c r="AK54" s="65"/>
      <c r="AL54" s="150"/>
      <c r="AM54" s="151"/>
      <c r="AN54" s="152"/>
      <c r="AO54" s="152"/>
      <c r="AP54" s="152"/>
      <c r="AQ54" s="152"/>
      <c r="AR54" s="152"/>
      <c r="AS54" s="119"/>
      <c r="AT54" s="119"/>
      <c r="AU54" s="119"/>
      <c r="AV54" s="119"/>
      <c r="AW54" s="119"/>
      <c r="AX54" s="283"/>
      <c r="AY54" s="153"/>
      <c r="AZ54" s="285"/>
      <c r="BA54" s="154"/>
      <c r="BB54" s="6"/>
      <c r="BC54" s="6"/>
      <c r="BD54" s="6"/>
    </row>
    <row r="55" spans="1:56" ht="15.75" x14ac:dyDescent="0.25">
      <c r="A55" s="332"/>
      <c r="B55" s="281"/>
      <c r="C55" s="281"/>
      <c r="D55" s="319"/>
      <c r="E55" s="285"/>
      <c r="F55" s="285"/>
      <c r="G55" s="285"/>
      <c r="H55" s="285"/>
      <c r="I55" s="301"/>
      <c r="J55" s="303"/>
      <c r="K55" s="296"/>
      <c r="L55" s="299"/>
      <c r="M55" s="301"/>
      <c r="N55" s="301"/>
      <c r="O55" s="321"/>
      <c r="P55" s="322"/>
      <c r="Q55" s="322"/>
      <c r="R55" s="323"/>
      <c r="S55" s="322"/>
      <c r="T55" s="321"/>
      <c r="U55" s="322"/>
      <c r="V55" s="333"/>
      <c r="W55" s="323"/>
      <c r="X55" s="294"/>
      <c r="Y55" s="272"/>
      <c r="Z55" s="294"/>
      <c r="AA55" s="323"/>
      <c r="AB55" s="301"/>
      <c r="AC55" s="325"/>
      <c r="AD55" s="209">
        <v>45981</v>
      </c>
      <c r="AE55" s="210">
        <v>1840</v>
      </c>
      <c r="AF55" s="208">
        <v>162505.35999999999</v>
      </c>
      <c r="AG55" s="276"/>
      <c r="AH55" s="276"/>
      <c r="AI55" s="276"/>
      <c r="AJ55" s="149"/>
      <c r="AK55" s="65"/>
      <c r="AL55" s="150"/>
      <c r="AM55" s="151"/>
      <c r="AN55" s="152"/>
      <c r="AO55" s="152"/>
      <c r="AP55" s="152"/>
      <c r="AQ55" s="152"/>
      <c r="AR55" s="152"/>
      <c r="AS55" s="119"/>
      <c r="AT55" s="119"/>
      <c r="AU55" s="119"/>
      <c r="AV55" s="119"/>
      <c r="AW55" s="119"/>
      <c r="AX55" s="283"/>
      <c r="AY55" s="153"/>
      <c r="AZ55" s="285"/>
      <c r="BA55" s="154"/>
      <c r="BB55" s="6"/>
      <c r="BC55" s="6"/>
      <c r="BD55" s="6"/>
    </row>
    <row r="56" spans="1:56" ht="15.75" x14ac:dyDescent="0.25">
      <c r="A56" s="332"/>
      <c r="B56" s="281"/>
      <c r="C56" s="281"/>
      <c r="D56" s="319"/>
      <c r="E56" s="285"/>
      <c r="F56" s="285"/>
      <c r="G56" s="285"/>
      <c r="H56" s="285"/>
      <c r="I56" s="301"/>
      <c r="J56" s="303"/>
      <c r="K56" s="296"/>
      <c r="L56" s="299"/>
      <c r="M56" s="301"/>
      <c r="N56" s="301"/>
      <c r="O56" s="321"/>
      <c r="P56" s="322"/>
      <c r="Q56" s="322"/>
      <c r="R56" s="323"/>
      <c r="S56" s="322"/>
      <c r="T56" s="321"/>
      <c r="U56" s="322"/>
      <c r="V56" s="333"/>
      <c r="W56" s="323"/>
      <c r="X56" s="294"/>
      <c r="Y56" s="327"/>
      <c r="Z56" s="294"/>
      <c r="AA56" s="324"/>
      <c r="AB56" s="301"/>
      <c r="AC56" s="325"/>
      <c r="AD56" s="209">
        <v>46020</v>
      </c>
      <c r="AE56" s="211" t="s">
        <v>149</v>
      </c>
      <c r="AF56" s="208">
        <v>1439201.43</v>
      </c>
      <c r="AG56" s="276"/>
      <c r="AH56" s="276"/>
      <c r="AI56" s="276"/>
      <c r="AJ56" s="149"/>
      <c r="AK56" s="65"/>
      <c r="AL56" s="150"/>
      <c r="AM56" s="151"/>
      <c r="AN56" s="152"/>
      <c r="AO56" s="152"/>
      <c r="AP56" s="152"/>
      <c r="AQ56" s="152"/>
      <c r="AR56" s="152"/>
      <c r="AS56" s="119"/>
      <c r="AT56" s="119"/>
      <c r="AU56" s="119"/>
      <c r="AV56" s="119"/>
      <c r="AW56" s="119"/>
      <c r="AX56" s="283"/>
      <c r="AY56" s="153"/>
      <c r="AZ56" s="285"/>
      <c r="BA56" s="154"/>
      <c r="BB56" s="6"/>
      <c r="BC56" s="6"/>
      <c r="BD56" s="6"/>
    </row>
    <row r="57" spans="1:56" ht="15.75" x14ac:dyDescent="0.25">
      <c r="A57" s="315" t="s">
        <v>150</v>
      </c>
      <c r="B57" s="276">
        <v>1827641848.6700001</v>
      </c>
      <c r="C57" s="276">
        <v>1827641848.6700001</v>
      </c>
      <c r="D57" s="318"/>
      <c r="E57" s="273"/>
      <c r="F57" s="273"/>
      <c r="G57" s="273"/>
      <c r="H57" s="273"/>
      <c r="I57" s="276"/>
      <c r="J57" s="302"/>
      <c r="K57" s="295"/>
      <c r="L57" s="298"/>
      <c r="M57" s="276"/>
      <c r="N57" s="308">
        <v>1827641848.6700001</v>
      </c>
      <c r="O57" s="302">
        <v>45932</v>
      </c>
      <c r="P57" s="295" t="s">
        <v>151</v>
      </c>
      <c r="Q57" s="295" t="s">
        <v>50</v>
      </c>
      <c r="R57" s="295" t="s">
        <v>152</v>
      </c>
      <c r="S57" s="295" t="s">
        <v>153</v>
      </c>
      <c r="T57" s="302">
        <v>44679</v>
      </c>
      <c r="U57" s="295">
        <v>60</v>
      </c>
      <c r="V57" s="298" t="s">
        <v>154</v>
      </c>
      <c r="W57" s="295" t="s">
        <v>153</v>
      </c>
      <c r="X57" s="273"/>
      <c r="Y57" s="276">
        <v>1827641848.6700001</v>
      </c>
      <c r="Z57" s="294"/>
      <c r="AA57" s="295" t="s">
        <v>152</v>
      </c>
      <c r="AB57" s="276"/>
      <c r="AC57" s="276">
        <v>1789858759.3099999</v>
      </c>
      <c r="AD57" s="212" t="s">
        <v>155</v>
      </c>
      <c r="AE57" s="213" t="s">
        <v>156</v>
      </c>
      <c r="AF57" s="214">
        <v>228918201.50999999</v>
      </c>
      <c r="AG57" s="281"/>
      <c r="AH57" s="281"/>
      <c r="AI57" s="281"/>
      <c r="AJ57" s="149"/>
      <c r="AK57" s="65"/>
      <c r="AL57" s="150"/>
      <c r="AM57" s="151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283"/>
      <c r="AY57" s="153"/>
      <c r="AZ57" s="285"/>
      <c r="BA57" s="154"/>
      <c r="BB57" s="6"/>
      <c r="BC57" s="6"/>
      <c r="BD57" s="6"/>
    </row>
    <row r="58" spans="1:56" ht="15.75" x14ac:dyDescent="0.25">
      <c r="A58" s="316"/>
      <c r="B58" s="301"/>
      <c r="C58" s="301"/>
      <c r="D58" s="319"/>
      <c r="E58" s="285"/>
      <c r="F58" s="285"/>
      <c r="G58" s="285"/>
      <c r="H58" s="285"/>
      <c r="I58" s="301"/>
      <c r="J58" s="303"/>
      <c r="K58" s="296"/>
      <c r="L58" s="299"/>
      <c r="M58" s="301"/>
      <c r="N58" s="309"/>
      <c r="O58" s="303"/>
      <c r="P58" s="296"/>
      <c r="Q58" s="296"/>
      <c r="R58" s="296"/>
      <c r="S58" s="296"/>
      <c r="T58" s="303"/>
      <c r="U58" s="296"/>
      <c r="V58" s="299"/>
      <c r="W58" s="296"/>
      <c r="X58" s="285"/>
      <c r="Y58" s="301"/>
      <c r="Z58" s="294"/>
      <c r="AA58" s="296"/>
      <c r="AB58" s="301"/>
      <c r="AC58" s="301"/>
      <c r="AD58" s="212" t="s">
        <v>155</v>
      </c>
      <c r="AE58" s="213" t="s">
        <v>157</v>
      </c>
      <c r="AF58" s="214">
        <v>7736026.8899999997</v>
      </c>
      <c r="AG58" s="281"/>
      <c r="AH58" s="281"/>
      <c r="AI58" s="281"/>
      <c r="AJ58" s="149"/>
      <c r="AK58" s="65"/>
      <c r="AL58" s="150"/>
      <c r="AM58" s="151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283"/>
      <c r="AY58" s="153"/>
      <c r="AZ58" s="285"/>
      <c r="BA58" s="154"/>
      <c r="BB58" s="6"/>
      <c r="BC58" s="6"/>
      <c r="BD58" s="6"/>
    </row>
    <row r="59" spans="1:56" ht="15.75" x14ac:dyDescent="0.25">
      <c r="A59" s="316"/>
      <c r="B59" s="301"/>
      <c r="C59" s="301"/>
      <c r="D59" s="319"/>
      <c r="E59" s="285"/>
      <c r="F59" s="285"/>
      <c r="G59" s="285"/>
      <c r="H59" s="285"/>
      <c r="I59" s="301"/>
      <c r="J59" s="303"/>
      <c r="K59" s="296"/>
      <c r="L59" s="299"/>
      <c r="M59" s="301"/>
      <c r="N59" s="309"/>
      <c r="O59" s="303"/>
      <c r="P59" s="296"/>
      <c r="Q59" s="296"/>
      <c r="R59" s="296"/>
      <c r="S59" s="296"/>
      <c r="T59" s="303"/>
      <c r="U59" s="296"/>
      <c r="V59" s="299"/>
      <c r="W59" s="296"/>
      <c r="X59" s="285"/>
      <c r="Y59" s="301"/>
      <c r="Z59" s="294"/>
      <c r="AA59" s="296"/>
      <c r="AB59" s="301"/>
      <c r="AC59" s="301"/>
      <c r="AD59" s="212" t="s">
        <v>158</v>
      </c>
      <c r="AE59" s="213" t="s">
        <v>159</v>
      </c>
      <c r="AF59" s="214">
        <v>318636512.35000002</v>
      </c>
      <c r="AG59" s="281"/>
      <c r="AH59" s="281"/>
      <c r="AI59" s="281"/>
      <c r="AJ59" s="149"/>
      <c r="AK59" s="65"/>
      <c r="AL59" s="150"/>
      <c r="AM59" s="151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283"/>
      <c r="AY59" s="153"/>
      <c r="AZ59" s="285"/>
      <c r="BA59" s="154"/>
      <c r="BB59" s="6"/>
      <c r="BC59" s="6"/>
      <c r="BD59" s="6"/>
    </row>
    <row r="60" spans="1:56" ht="15.75" x14ac:dyDescent="0.25">
      <c r="A60" s="316"/>
      <c r="B60" s="301"/>
      <c r="C60" s="301"/>
      <c r="D60" s="319"/>
      <c r="E60" s="285"/>
      <c r="F60" s="285"/>
      <c r="G60" s="285"/>
      <c r="H60" s="285"/>
      <c r="I60" s="301"/>
      <c r="J60" s="303"/>
      <c r="K60" s="296"/>
      <c r="L60" s="299"/>
      <c r="M60" s="301"/>
      <c r="N60" s="309"/>
      <c r="O60" s="303"/>
      <c r="P60" s="296"/>
      <c r="Q60" s="296"/>
      <c r="R60" s="296"/>
      <c r="S60" s="296"/>
      <c r="T60" s="303"/>
      <c r="U60" s="296"/>
      <c r="V60" s="299"/>
      <c r="W60" s="296"/>
      <c r="X60" s="285"/>
      <c r="Y60" s="301"/>
      <c r="Z60" s="294"/>
      <c r="AA60" s="296"/>
      <c r="AB60" s="301"/>
      <c r="AC60" s="301"/>
      <c r="AD60" s="212" t="s">
        <v>160</v>
      </c>
      <c r="AE60" s="213" t="s">
        <v>161</v>
      </c>
      <c r="AF60" s="214">
        <v>75335977.959999993</v>
      </c>
      <c r="AG60" s="281"/>
      <c r="AH60" s="281"/>
      <c r="AI60" s="281"/>
      <c r="AJ60" s="149"/>
      <c r="AK60" s="65"/>
      <c r="AL60" s="150"/>
      <c r="AM60" s="151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283"/>
      <c r="AY60" s="153"/>
      <c r="AZ60" s="285"/>
      <c r="BA60" s="154"/>
      <c r="BB60" s="6"/>
      <c r="BC60" s="6"/>
      <c r="BD60" s="6"/>
    </row>
    <row r="61" spans="1:56" ht="15.75" x14ac:dyDescent="0.25">
      <c r="A61" s="316"/>
      <c r="B61" s="301"/>
      <c r="C61" s="301"/>
      <c r="D61" s="319"/>
      <c r="E61" s="285"/>
      <c r="F61" s="285"/>
      <c r="G61" s="285"/>
      <c r="H61" s="285"/>
      <c r="I61" s="301"/>
      <c r="J61" s="303"/>
      <c r="K61" s="296"/>
      <c r="L61" s="299"/>
      <c r="M61" s="301"/>
      <c r="N61" s="309"/>
      <c r="O61" s="303"/>
      <c r="P61" s="296"/>
      <c r="Q61" s="296"/>
      <c r="R61" s="296"/>
      <c r="S61" s="296"/>
      <c r="T61" s="303"/>
      <c r="U61" s="296"/>
      <c r="V61" s="299"/>
      <c r="W61" s="296"/>
      <c r="X61" s="285"/>
      <c r="Y61" s="301"/>
      <c r="Z61" s="294"/>
      <c r="AA61" s="296"/>
      <c r="AB61" s="301"/>
      <c r="AC61" s="301"/>
      <c r="AD61" s="212" t="s">
        <v>162</v>
      </c>
      <c r="AE61" s="213" t="s">
        <v>163</v>
      </c>
      <c r="AF61" s="214">
        <v>119148582.78</v>
      </c>
      <c r="AG61" s="281"/>
      <c r="AH61" s="281"/>
      <c r="AI61" s="281"/>
      <c r="AJ61" s="149"/>
      <c r="AK61" s="65"/>
      <c r="AL61" s="150"/>
      <c r="AM61" s="151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283"/>
      <c r="AY61" s="153"/>
      <c r="AZ61" s="285"/>
      <c r="BA61" s="154"/>
      <c r="BB61" s="6"/>
      <c r="BC61" s="6"/>
      <c r="BD61" s="6"/>
    </row>
    <row r="62" spans="1:56" ht="15.75" x14ac:dyDescent="0.25">
      <c r="A62" s="316"/>
      <c r="B62" s="301"/>
      <c r="C62" s="301"/>
      <c r="D62" s="319"/>
      <c r="E62" s="285"/>
      <c r="F62" s="285"/>
      <c r="G62" s="285"/>
      <c r="H62" s="285"/>
      <c r="I62" s="301"/>
      <c r="J62" s="303"/>
      <c r="K62" s="296"/>
      <c r="L62" s="299"/>
      <c r="M62" s="301"/>
      <c r="N62" s="309"/>
      <c r="O62" s="303"/>
      <c r="P62" s="296"/>
      <c r="Q62" s="296"/>
      <c r="R62" s="296"/>
      <c r="S62" s="296"/>
      <c r="T62" s="303"/>
      <c r="U62" s="296"/>
      <c r="V62" s="299"/>
      <c r="W62" s="296"/>
      <c r="X62" s="285"/>
      <c r="Y62" s="301"/>
      <c r="Z62" s="294"/>
      <c r="AA62" s="296"/>
      <c r="AB62" s="301"/>
      <c r="AC62" s="301"/>
      <c r="AD62" s="212" t="s">
        <v>164</v>
      </c>
      <c r="AE62" s="213" t="s">
        <v>165</v>
      </c>
      <c r="AF62" s="214">
        <v>129914574.75</v>
      </c>
      <c r="AG62" s="281"/>
      <c r="AH62" s="281"/>
      <c r="AI62" s="281"/>
      <c r="AJ62" s="149"/>
      <c r="AK62" s="65"/>
      <c r="AL62" s="150"/>
      <c r="AM62" s="151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283"/>
      <c r="AY62" s="153"/>
      <c r="AZ62" s="285"/>
      <c r="BA62" s="154"/>
      <c r="BB62" s="6"/>
      <c r="BC62" s="6"/>
      <c r="BD62" s="6"/>
    </row>
    <row r="63" spans="1:56" ht="15.75" x14ac:dyDescent="0.25">
      <c r="A63" s="316"/>
      <c r="B63" s="301"/>
      <c r="C63" s="301"/>
      <c r="D63" s="319"/>
      <c r="E63" s="285"/>
      <c r="F63" s="285"/>
      <c r="G63" s="285"/>
      <c r="H63" s="285"/>
      <c r="I63" s="301"/>
      <c r="J63" s="303"/>
      <c r="K63" s="296"/>
      <c r="L63" s="299"/>
      <c r="M63" s="301"/>
      <c r="N63" s="309"/>
      <c r="O63" s="303"/>
      <c r="P63" s="296"/>
      <c r="Q63" s="296"/>
      <c r="R63" s="296"/>
      <c r="S63" s="296"/>
      <c r="T63" s="303"/>
      <c r="U63" s="296"/>
      <c r="V63" s="299"/>
      <c r="W63" s="296"/>
      <c r="X63" s="285"/>
      <c r="Y63" s="301"/>
      <c r="Z63" s="294"/>
      <c r="AA63" s="296"/>
      <c r="AB63" s="301"/>
      <c r="AC63" s="301"/>
      <c r="AD63" s="212" t="s">
        <v>166</v>
      </c>
      <c r="AE63" s="213" t="s">
        <v>167</v>
      </c>
      <c r="AF63" s="214">
        <v>121031436.18000001</v>
      </c>
      <c r="AG63" s="281"/>
      <c r="AH63" s="281"/>
      <c r="AI63" s="281"/>
      <c r="AJ63" s="149"/>
      <c r="AK63" s="65"/>
      <c r="AL63" s="150"/>
      <c r="AM63" s="151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283"/>
      <c r="AY63" s="153"/>
      <c r="AZ63" s="285"/>
      <c r="BA63" s="154"/>
      <c r="BB63" s="6"/>
      <c r="BC63" s="6"/>
      <c r="BD63" s="6"/>
    </row>
    <row r="64" spans="1:56" ht="15.75" x14ac:dyDescent="0.25">
      <c r="A64" s="316"/>
      <c r="B64" s="301"/>
      <c r="C64" s="301"/>
      <c r="D64" s="319"/>
      <c r="E64" s="285"/>
      <c r="F64" s="285"/>
      <c r="G64" s="285"/>
      <c r="H64" s="285"/>
      <c r="I64" s="301"/>
      <c r="J64" s="303"/>
      <c r="K64" s="296"/>
      <c r="L64" s="299"/>
      <c r="M64" s="301"/>
      <c r="N64" s="309"/>
      <c r="O64" s="303"/>
      <c r="P64" s="296"/>
      <c r="Q64" s="296"/>
      <c r="R64" s="296"/>
      <c r="S64" s="296"/>
      <c r="T64" s="303"/>
      <c r="U64" s="296"/>
      <c r="V64" s="299"/>
      <c r="W64" s="296"/>
      <c r="X64" s="285"/>
      <c r="Y64" s="301"/>
      <c r="Z64" s="294"/>
      <c r="AA64" s="296"/>
      <c r="AB64" s="301"/>
      <c r="AC64" s="301"/>
      <c r="AD64" s="212" t="s">
        <v>168</v>
      </c>
      <c r="AE64" s="213" t="s">
        <v>169</v>
      </c>
      <c r="AF64" s="214">
        <v>342042047.52999997</v>
      </c>
      <c r="AG64" s="281"/>
      <c r="AH64" s="281"/>
      <c r="AI64" s="281"/>
      <c r="AJ64" s="149"/>
      <c r="AK64" s="65"/>
      <c r="AL64" s="150"/>
      <c r="AM64" s="151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283"/>
      <c r="AY64" s="153"/>
      <c r="AZ64" s="285"/>
      <c r="BA64" s="154"/>
      <c r="BB64" s="6"/>
      <c r="BC64" s="6"/>
      <c r="BD64" s="6"/>
    </row>
    <row r="65" spans="1:56" ht="15.75" x14ac:dyDescent="0.25">
      <c r="A65" s="316"/>
      <c r="B65" s="301"/>
      <c r="C65" s="301"/>
      <c r="D65" s="319"/>
      <c r="E65" s="285"/>
      <c r="F65" s="285"/>
      <c r="G65" s="285"/>
      <c r="H65" s="285"/>
      <c r="I65" s="301"/>
      <c r="J65" s="303"/>
      <c r="K65" s="296"/>
      <c r="L65" s="299"/>
      <c r="M65" s="301"/>
      <c r="N65" s="309"/>
      <c r="O65" s="303"/>
      <c r="P65" s="296"/>
      <c r="Q65" s="296"/>
      <c r="R65" s="296"/>
      <c r="S65" s="296"/>
      <c r="T65" s="303"/>
      <c r="U65" s="296"/>
      <c r="V65" s="299"/>
      <c r="W65" s="296"/>
      <c r="X65" s="285"/>
      <c r="Y65" s="301"/>
      <c r="Z65" s="294"/>
      <c r="AA65" s="296"/>
      <c r="AB65" s="301"/>
      <c r="AC65" s="301"/>
      <c r="AD65" s="212" t="s">
        <v>170</v>
      </c>
      <c r="AE65" s="213" t="s">
        <v>171</v>
      </c>
      <c r="AF65" s="214">
        <v>76363286.340000004</v>
      </c>
      <c r="AG65" s="281"/>
      <c r="AH65" s="281"/>
      <c r="AI65" s="281"/>
      <c r="AJ65" s="149"/>
      <c r="AK65" s="65"/>
      <c r="AL65" s="150"/>
      <c r="AM65" s="151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283"/>
      <c r="AY65" s="153"/>
      <c r="AZ65" s="285"/>
      <c r="BA65" s="154"/>
      <c r="BB65" s="6"/>
      <c r="BC65" s="6"/>
      <c r="BD65" s="6"/>
    </row>
    <row r="66" spans="1:56" ht="15.75" x14ac:dyDescent="0.25">
      <c r="A66" s="316"/>
      <c r="B66" s="301"/>
      <c r="C66" s="301"/>
      <c r="D66" s="319"/>
      <c r="E66" s="285"/>
      <c r="F66" s="285"/>
      <c r="G66" s="285"/>
      <c r="H66" s="285"/>
      <c r="I66" s="301"/>
      <c r="J66" s="303"/>
      <c r="K66" s="296"/>
      <c r="L66" s="299"/>
      <c r="M66" s="301"/>
      <c r="N66" s="309"/>
      <c r="O66" s="303"/>
      <c r="P66" s="296"/>
      <c r="Q66" s="296"/>
      <c r="R66" s="296"/>
      <c r="S66" s="296"/>
      <c r="T66" s="303"/>
      <c r="U66" s="296"/>
      <c r="V66" s="299"/>
      <c r="W66" s="296"/>
      <c r="X66" s="285"/>
      <c r="Y66" s="301"/>
      <c r="Z66" s="294"/>
      <c r="AA66" s="296"/>
      <c r="AB66" s="301"/>
      <c r="AC66" s="301"/>
      <c r="AD66" s="212" t="s">
        <v>172</v>
      </c>
      <c r="AE66" s="213" t="s">
        <v>173</v>
      </c>
      <c r="AF66" s="214">
        <v>298162568.16000003</v>
      </c>
      <c r="AG66" s="281"/>
      <c r="AH66" s="281"/>
      <c r="AI66" s="281"/>
      <c r="AJ66" s="149"/>
      <c r="AK66" s="65"/>
      <c r="AL66" s="150"/>
      <c r="AM66" s="151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283"/>
      <c r="AY66" s="153"/>
      <c r="AZ66" s="285"/>
      <c r="BA66" s="154"/>
      <c r="BB66" s="6"/>
      <c r="BC66" s="6"/>
      <c r="BD66" s="6"/>
    </row>
    <row r="67" spans="1:56" ht="15.75" x14ac:dyDescent="0.25">
      <c r="A67" s="316"/>
      <c r="B67" s="301"/>
      <c r="C67" s="301"/>
      <c r="D67" s="319"/>
      <c r="E67" s="285"/>
      <c r="F67" s="285"/>
      <c r="G67" s="285"/>
      <c r="H67" s="285"/>
      <c r="I67" s="301"/>
      <c r="J67" s="303"/>
      <c r="K67" s="296"/>
      <c r="L67" s="299"/>
      <c r="M67" s="301"/>
      <c r="N67" s="309"/>
      <c r="O67" s="303"/>
      <c r="P67" s="296"/>
      <c r="Q67" s="296"/>
      <c r="R67" s="296"/>
      <c r="S67" s="296"/>
      <c r="T67" s="303"/>
      <c r="U67" s="296"/>
      <c r="V67" s="299"/>
      <c r="W67" s="296"/>
      <c r="X67" s="285"/>
      <c r="Y67" s="301"/>
      <c r="Z67" s="294"/>
      <c r="AA67" s="296"/>
      <c r="AB67" s="301"/>
      <c r="AC67" s="301"/>
      <c r="AD67" s="212" t="s">
        <v>174</v>
      </c>
      <c r="AE67" s="213" t="s">
        <v>175</v>
      </c>
      <c r="AF67" s="214">
        <v>72569427.540000007</v>
      </c>
      <c r="AG67" s="281"/>
      <c r="AH67" s="281"/>
      <c r="AI67" s="281"/>
      <c r="AJ67" s="149"/>
      <c r="AK67" s="65"/>
      <c r="AL67" s="150"/>
      <c r="AM67" s="151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283"/>
      <c r="AY67" s="153"/>
      <c r="AZ67" s="285"/>
      <c r="BA67" s="154"/>
      <c r="BB67" s="6"/>
      <c r="BC67" s="6"/>
      <c r="BD67" s="6"/>
    </row>
    <row r="68" spans="1:56" ht="15.75" x14ac:dyDescent="0.25">
      <c r="A68" s="316"/>
      <c r="B68" s="301"/>
      <c r="C68" s="301"/>
      <c r="D68" s="319"/>
      <c r="E68" s="285"/>
      <c r="F68" s="285"/>
      <c r="G68" s="285"/>
      <c r="H68" s="285"/>
      <c r="I68" s="301"/>
      <c r="J68" s="303"/>
      <c r="K68" s="296"/>
      <c r="L68" s="299"/>
      <c r="M68" s="301"/>
      <c r="N68" s="309"/>
      <c r="O68" s="303"/>
      <c r="P68" s="296"/>
      <c r="Q68" s="296"/>
      <c r="R68" s="296"/>
      <c r="S68" s="296"/>
      <c r="T68" s="303"/>
      <c r="U68" s="296"/>
      <c r="V68" s="299"/>
      <c r="W68" s="296"/>
      <c r="X68" s="285"/>
      <c r="Y68" s="301"/>
      <c r="Z68" s="294"/>
      <c r="AA68" s="296"/>
      <c r="AB68" s="301"/>
      <c r="AC68" s="301"/>
      <c r="AD68" s="212" t="s">
        <v>174</v>
      </c>
      <c r="AE68" s="213" t="s">
        <v>176</v>
      </c>
      <c r="AF68" s="214">
        <v>117.32</v>
      </c>
      <c r="AG68" s="281"/>
      <c r="AH68" s="281"/>
      <c r="AI68" s="281"/>
      <c r="AJ68" s="149"/>
      <c r="AK68" s="65"/>
      <c r="AL68" s="150"/>
      <c r="AM68" s="151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283"/>
      <c r="AY68" s="153"/>
      <c r="AZ68" s="285"/>
      <c r="BA68" s="154"/>
      <c r="BB68" s="6"/>
      <c r="BC68" s="6"/>
      <c r="BD68" s="6"/>
    </row>
    <row r="69" spans="1:56" ht="15.75" x14ac:dyDescent="0.25">
      <c r="A69" s="316"/>
      <c r="B69" s="301"/>
      <c r="C69" s="301"/>
      <c r="D69" s="319"/>
      <c r="E69" s="285"/>
      <c r="F69" s="285"/>
      <c r="G69" s="285"/>
      <c r="H69" s="285"/>
      <c r="I69" s="301"/>
      <c r="J69" s="303"/>
      <c r="K69" s="296"/>
      <c r="L69" s="299"/>
      <c r="M69" s="301"/>
      <c r="N69" s="309"/>
      <c r="O69" s="311">
        <v>45975</v>
      </c>
      <c r="P69" s="313" t="s">
        <v>177</v>
      </c>
      <c r="Q69" s="296"/>
      <c r="R69" s="282">
        <v>35202345.359999999</v>
      </c>
      <c r="S69" s="295"/>
      <c r="T69" s="302">
        <v>45288</v>
      </c>
      <c r="U69" s="295">
        <v>222</v>
      </c>
      <c r="V69" s="298" t="s">
        <v>178</v>
      </c>
      <c r="W69" s="295" t="s">
        <v>179</v>
      </c>
      <c r="X69" s="273"/>
      <c r="Y69" s="301"/>
      <c r="Z69" s="294"/>
      <c r="AA69" s="282">
        <v>35202345.359999999</v>
      </c>
      <c r="AB69" s="276"/>
      <c r="AC69" s="276">
        <v>16817338.449999999</v>
      </c>
      <c r="AD69" s="212" t="s">
        <v>180</v>
      </c>
      <c r="AE69" s="213" t="s">
        <v>181</v>
      </c>
      <c r="AF69" s="214">
        <v>228918201.50999999</v>
      </c>
      <c r="AG69" s="281"/>
      <c r="AH69" s="281"/>
      <c r="AI69" s="281"/>
      <c r="AJ69" s="149"/>
      <c r="AK69" s="65"/>
      <c r="AL69" s="150"/>
      <c r="AM69" s="151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283"/>
      <c r="AY69" s="153"/>
      <c r="AZ69" s="285"/>
      <c r="BA69" s="154"/>
      <c r="BB69" s="6"/>
      <c r="BC69" s="6"/>
      <c r="BD69" s="6"/>
    </row>
    <row r="70" spans="1:56" ht="15.75" x14ac:dyDescent="0.25">
      <c r="A70" s="316"/>
      <c r="B70" s="301"/>
      <c r="C70" s="301"/>
      <c r="D70" s="319"/>
      <c r="E70" s="285"/>
      <c r="F70" s="285"/>
      <c r="G70" s="285"/>
      <c r="H70" s="285"/>
      <c r="I70" s="301"/>
      <c r="J70" s="303"/>
      <c r="K70" s="296"/>
      <c r="L70" s="299"/>
      <c r="M70" s="301"/>
      <c r="N70" s="309"/>
      <c r="O70" s="312"/>
      <c r="P70" s="314"/>
      <c r="Q70" s="296"/>
      <c r="R70" s="283"/>
      <c r="S70" s="296"/>
      <c r="T70" s="303"/>
      <c r="U70" s="296"/>
      <c r="V70" s="299"/>
      <c r="W70" s="296"/>
      <c r="X70" s="285"/>
      <c r="Y70" s="301"/>
      <c r="Z70" s="294"/>
      <c r="AA70" s="283"/>
      <c r="AB70" s="301"/>
      <c r="AC70" s="301"/>
      <c r="AD70" s="212" t="s">
        <v>182</v>
      </c>
      <c r="AE70" s="213" t="s">
        <v>183</v>
      </c>
      <c r="AF70" s="214">
        <v>7736026.8899999997</v>
      </c>
      <c r="AG70" s="281"/>
      <c r="AH70" s="281"/>
      <c r="AI70" s="281"/>
      <c r="AJ70" s="149"/>
      <c r="AK70" s="65"/>
      <c r="AL70" s="150"/>
      <c r="AM70" s="151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283"/>
      <c r="AY70" s="153"/>
      <c r="AZ70" s="285"/>
      <c r="BA70" s="154"/>
      <c r="BB70" s="6"/>
      <c r="BC70" s="6"/>
      <c r="BD70" s="6"/>
    </row>
    <row r="71" spans="1:56" ht="15.75" x14ac:dyDescent="0.25">
      <c r="A71" s="316"/>
      <c r="B71" s="301"/>
      <c r="C71" s="301"/>
      <c r="D71" s="319"/>
      <c r="E71" s="285"/>
      <c r="F71" s="285"/>
      <c r="G71" s="285"/>
      <c r="H71" s="285"/>
      <c r="I71" s="301"/>
      <c r="J71" s="303"/>
      <c r="K71" s="296"/>
      <c r="L71" s="299"/>
      <c r="M71" s="301"/>
      <c r="N71" s="309"/>
      <c r="O71" s="312"/>
      <c r="P71" s="314"/>
      <c r="Q71" s="296"/>
      <c r="R71" s="283"/>
      <c r="S71" s="296"/>
      <c r="T71" s="303"/>
      <c r="U71" s="296"/>
      <c r="V71" s="299"/>
      <c r="W71" s="296"/>
      <c r="X71" s="285"/>
      <c r="Y71" s="301"/>
      <c r="Z71" s="294"/>
      <c r="AA71" s="283"/>
      <c r="AB71" s="301"/>
      <c r="AC71" s="301"/>
      <c r="AD71" s="212" t="s">
        <v>184</v>
      </c>
      <c r="AE71" s="213" t="s">
        <v>185</v>
      </c>
      <c r="AF71" s="214">
        <v>318636512.35000002</v>
      </c>
      <c r="AG71" s="281"/>
      <c r="AH71" s="281"/>
      <c r="AI71" s="281"/>
      <c r="AJ71" s="149"/>
      <c r="AK71" s="65"/>
      <c r="AL71" s="150"/>
      <c r="AM71" s="151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283"/>
      <c r="AY71" s="153"/>
      <c r="AZ71" s="285"/>
      <c r="BA71" s="154"/>
      <c r="BB71" s="6"/>
      <c r="BC71" s="6"/>
      <c r="BD71" s="6"/>
    </row>
    <row r="72" spans="1:56" ht="15.75" x14ac:dyDescent="0.25">
      <c r="A72" s="316"/>
      <c r="B72" s="301"/>
      <c r="C72" s="301"/>
      <c r="D72" s="319"/>
      <c r="E72" s="285"/>
      <c r="F72" s="285"/>
      <c r="G72" s="285"/>
      <c r="H72" s="285"/>
      <c r="I72" s="301"/>
      <c r="J72" s="303"/>
      <c r="K72" s="296"/>
      <c r="L72" s="299"/>
      <c r="M72" s="301"/>
      <c r="N72" s="309"/>
      <c r="O72" s="312"/>
      <c r="P72" s="314"/>
      <c r="Q72" s="296"/>
      <c r="R72" s="283"/>
      <c r="S72" s="296"/>
      <c r="T72" s="303"/>
      <c r="U72" s="296"/>
      <c r="V72" s="299"/>
      <c r="W72" s="296"/>
      <c r="X72" s="285"/>
      <c r="Y72" s="301"/>
      <c r="Z72" s="294"/>
      <c r="AA72" s="283"/>
      <c r="AB72" s="301"/>
      <c r="AC72" s="301"/>
      <c r="AD72" s="212" t="s">
        <v>186</v>
      </c>
      <c r="AE72" s="213" t="s">
        <v>187</v>
      </c>
      <c r="AF72" s="214">
        <v>75335977.959999993</v>
      </c>
      <c r="AG72" s="281"/>
      <c r="AH72" s="281"/>
      <c r="AI72" s="281"/>
      <c r="AJ72" s="149"/>
      <c r="AK72" s="65"/>
      <c r="AL72" s="150"/>
      <c r="AM72" s="151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283"/>
      <c r="AY72" s="153"/>
      <c r="AZ72" s="285"/>
      <c r="BA72" s="154"/>
      <c r="BB72" s="6"/>
      <c r="BC72" s="6"/>
      <c r="BD72" s="6"/>
    </row>
    <row r="73" spans="1:56" ht="15.75" x14ac:dyDescent="0.25">
      <c r="A73" s="316"/>
      <c r="B73" s="301"/>
      <c r="C73" s="301"/>
      <c r="D73" s="319"/>
      <c r="E73" s="285"/>
      <c r="F73" s="285"/>
      <c r="G73" s="285"/>
      <c r="H73" s="285"/>
      <c r="I73" s="301"/>
      <c r="J73" s="303"/>
      <c r="K73" s="296"/>
      <c r="L73" s="299"/>
      <c r="M73" s="301"/>
      <c r="N73" s="309"/>
      <c r="O73" s="312"/>
      <c r="P73" s="314"/>
      <c r="Q73" s="296"/>
      <c r="R73" s="283"/>
      <c r="S73" s="296"/>
      <c r="T73" s="303"/>
      <c r="U73" s="296"/>
      <c r="V73" s="299"/>
      <c r="W73" s="296"/>
      <c r="X73" s="285"/>
      <c r="Y73" s="301"/>
      <c r="Z73" s="294"/>
      <c r="AA73" s="283"/>
      <c r="AB73" s="301"/>
      <c r="AC73" s="301"/>
      <c r="AD73" s="212" t="s">
        <v>188</v>
      </c>
      <c r="AE73" s="213" t="s">
        <v>189</v>
      </c>
      <c r="AF73" s="214">
        <v>119148582.78</v>
      </c>
      <c r="AG73" s="281"/>
      <c r="AH73" s="281"/>
      <c r="AI73" s="281"/>
      <c r="AJ73" s="149"/>
      <c r="AK73" s="65"/>
      <c r="AL73" s="150"/>
      <c r="AM73" s="151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283"/>
      <c r="AY73" s="153"/>
      <c r="AZ73" s="285"/>
      <c r="BA73" s="154"/>
      <c r="BB73" s="6"/>
      <c r="BC73" s="6"/>
      <c r="BD73" s="6"/>
    </row>
    <row r="74" spans="1:56" ht="15.75" x14ac:dyDescent="0.25">
      <c r="A74" s="316"/>
      <c r="B74" s="301"/>
      <c r="C74" s="301"/>
      <c r="D74" s="319"/>
      <c r="E74" s="285"/>
      <c r="F74" s="285"/>
      <c r="G74" s="285"/>
      <c r="H74" s="285"/>
      <c r="I74" s="301"/>
      <c r="J74" s="303"/>
      <c r="K74" s="296"/>
      <c r="L74" s="299"/>
      <c r="M74" s="301"/>
      <c r="N74" s="309"/>
      <c r="O74" s="312"/>
      <c r="P74" s="314"/>
      <c r="Q74" s="296"/>
      <c r="R74" s="283"/>
      <c r="S74" s="296"/>
      <c r="T74" s="303"/>
      <c r="U74" s="296"/>
      <c r="V74" s="299"/>
      <c r="W74" s="296"/>
      <c r="X74" s="285"/>
      <c r="Y74" s="301"/>
      <c r="Z74" s="294"/>
      <c r="AA74" s="283"/>
      <c r="AB74" s="301"/>
      <c r="AC74" s="301"/>
      <c r="AD74" s="212" t="s">
        <v>190</v>
      </c>
      <c r="AE74" s="213" t="s">
        <v>191</v>
      </c>
      <c r="AF74" s="214">
        <v>129914574.75</v>
      </c>
      <c r="AG74" s="281"/>
      <c r="AH74" s="281"/>
      <c r="AI74" s="281"/>
      <c r="AJ74" s="149"/>
      <c r="AK74" s="65"/>
      <c r="AL74" s="150"/>
      <c r="AM74" s="151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283"/>
      <c r="AY74" s="153"/>
      <c r="AZ74" s="285"/>
      <c r="BA74" s="154"/>
      <c r="BB74" s="6"/>
      <c r="BC74" s="6"/>
      <c r="BD74" s="6"/>
    </row>
    <row r="75" spans="1:56" ht="15.75" x14ac:dyDescent="0.25">
      <c r="A75" s="316"/>
      <c r="B75" s="301"/>
      <c r="C75" s="301"/>
      <c r="D75" s="319"/>
      <c r="E75" s="285"/>
      <c r="F75" s="285"/>
      <c r="G75" s="285"/>
      <c r="H75" s="285"/>
      <c r="I75" s="301"/>
      <c r="J75" s="303"/>
      <c r="K75" s="296"/>
      <c r="L75" s="299"/>
      <c r="M75" s="301"/>
      <c r="N75" s="309"/>
      <c r="O75" s="312"/>
      <c r="P75" s="314"/>
      <c r="Q75" s="296"/>
      <c r="R75" s="283"/>
      <c r="S75" s="296"/>
      <c r="T75" s="303"/>
      <c r="U75" s="296"/>
      <c r="V75" s="299"/>
      <c r="W75" s="296"/>
      <c r="X75" s="285"/>
      <c r="Y75" s="301"/>
      <c r="Z75" s="294"/>
      <c r="AA75" s="283"/>
      <c r="AB75" s="301"/>
      <c r="AC75" s="301"/>
      <c r="AD75" s="212" t="s">
        <v>192</v>
      </c>
      <c r="AE75" s="213" t="s">
        <v>193</v>
      </c>
      <c r="AF75" s="214">
        <v>121031436.18000001</v>
      </c>
      <c r="AG75" s="281"/>
      <c r="AH75" s="281"/>
      <c r="AI75" s="281"/>
      <c r="AJ75" s="149"/>
      <c r="AK75" s="65"/>
      <c r="AL75" s="150"/>
      <c r="AM75" s="151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283"/>
      <c r="AY75" s="153"/>
      <c r="AZ75" s="285"/>
      <c r="BA75" s="154"/>
      <c r="BB75" s="6"/>
      <c r="BC75" s="6"/>
      <c r="BD75" s="6"/>
    </row>
    <row r="76" spans="1:56" ht="15.75" x14ac:dyDescent="0.25">
      <c r="A76" s="316"/>
      <c r="B76" s="301"/>
      <c r="C76" s="301"/>
      <c r="D76" s="319"/>
      <c r="E76" s="285"/>
      <c r="F76" s="285"/>
      <c r="G76" s="285"/>
      <c r="H76" s="285"/>
      <c r="I76" s="301"/>
      <c r="J76" s="303"/>
      <c r="K76" s="296"/>
      <c r="L76" s="299"/>
      <c r="M76" s="301"/>
      <c r="N76" s="309"/>
      <c r="O76" s="312"/>
      <c r="P76" s="314"/>
      <c r="Q76" s="296"/>
      <c r="R76" s="283"/>
      <c r="S76" s="296"/>
      <c r="T76" s="303"/>
      <c r="U76" s="296"/>
      <c r="V76" s="299"/>
      <c r="W76" s="296"/>
      <c r="X76" s="285"/>
      <c r="Y76" s="301"/>
      <c r="Z76" s="294"/>
      <c r="AA76" s="283"/>
      <c r="AB76" s="301"/>
      <c r="AC76" s="301"/>
      <c r="AD76" s="212" t="s">
        <v>192</v>
      </c>
      <c r="AE76" s="213" t="s">
        <v>194</v>
      </c>
      <c r="AF76" s="214">
        <v>342042047.52999997</v>
      </c>
      <c r="AG76" s="281"/>
      <c r="AH76" s="281"/>
      <c r="AI76" s="281"/>
      <c r="AJ76" s="149"/>
      <c r="AK76" s="65"/>
      <c r="AL76" s="150"/>
      <c r="AM76" s="151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283"/>
      <c r="AY76" s="153"/>
      <c r="AZ76" s="285"/>
      <c r="BA76" s="154"/>
      <c r="BB76" s="6"/>
      <c r="BC76" s="6"/>
      <c r="BD76" s="6"/>
    </row>
    <row r="77" spans="1:56" ht="15.75" x14ac:dyDescent="0.25">
      <c r="A77" s="316"/>
      <c r="B77" s="301"/>
      <c r="C77" s="301"/>
      <c r="D77" s="319"/>
      <c r="E77" s="285"/>
      <c r="F77" s="285"/>
      <c r="G77" s="285"/>
      <c r="H77" s="285"/>
      <c r="I77" s="301"/>
      <c r="J77" s="303"/>
      <c r="K77" s="296"/>
      <c r="L77" s="299"/>
      <c r="M77" s="301"/>
      <c r="N77" s="309"/>
      <c r="O77" s="312"/>
      <c r="P77" s="314"/>
      <c r="Q77" s="296"/>
      <c r="R77" s="283"/>
      <c r="S77" s="296"/>
      <c r="T77" s="303"/>
      <c r="U77" s="296"/>
      <c r="V77" s="299"/>
      <c r="W77" s="296"/>
      <c r="X77" s="285"/>
      <c r="Y77" s="301"/>
      <c r="Z77" s="294"/>
      <c r="AA77" s="283"/>
      <c r="AB77" s="301"/>
      <c r="AC77" s="301"/>
      <c r="AD77" s="212" t="s">
        <v>192</v>
      </c>
      <c r="AE77" s="213" t="s">
        <v>195</v>
      </c>
      <c r="AF77" s="214">
        <v>76363286.340000004</v>
      </c>
      <c r="AG77" s="281"/>
      <c r="AH77" s="281"/>
      <c r="AI77" s="281"/>
      <c r="AJ77" s="149"/>
      <c r="AK77" s="65"/>
      <c r="AL77" s="150"/>
      <c r="AM77" s="151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283"/>
      <c r="AY77" s="153"/>
      <c r="AZ77" s="285"/>
      <c r="BA77" s="154"/>
      <c r="BB77" s="6"/>
      <c r="BC77" s="6"/>
      <c r="BD77" s="6"/>
    </row>
    <row r="78" spans="1:56" ht="15.75" x14ac:dyDescent="0.25">
      <c r="A78" s="316"/>
      <c r="B78" s="301"/>
      <c r="C78" s="301"/>
      <c r="D78" s="319"/>
      <c r="E78" s="285"/>
      <c r="F78" s="285"/>
      <c r="G78" s="285"/>
      <c r="H78" s="285"/>
      <c r="I78" s="301"/>
      <c r="J78" s="303"/>
      <c r="K78" s="296"/>
      <c r="L78" s="299"/>
      <c r="M78" s="301"/>
      <c r="N78" s="309"/>
      <c r="O78" s="312"/>
      <c r="P78" s="314"/>
      <c r="Q78" s="296"/>
      <c r="R78" s="283"/>
      <c r="S78" s="296"/>
      <c r="T78" s="303"/>
      <c r="U78" s="296"/>
      <c r="V78" s="299"/>
      <c r="W78" s="296"/>
      <c r="X78" s="285"/>
      <c r="Y78" s="301"/>
      <c r="Z78" s="294"/>
      <c r="AA78" s="283"/>
      <c r="AB78" s="301"/>
      <c r="AC78" s="301"/>
      <c r="AD78" s="212" t="s">
        <v>196</v>
      </c>
      <c r="AE78" s="213" t="s">
        <v>197</v>
      </c>
      <c r="AF78" s="214">
        <v>298162568.16000003</v>
      </c>
      <c r="AG78" s="281"/>
      <c r="AH78" s="281"/>
      <c r="AI78" s="281"/>
      <c r="AJ78" s="149"/>
      <c r="AK78" s="65"/>
      <c r="AL78" s="150"/>
      <c r="AM78" s="151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283"/>
      <c r="AY78" s="153"/>
      <c r="AZ78" s="285"/>
      <c r="BA78" s="154"/>
      <c r="BB78" s="6"/>
      <c r="BC78" s="6"/>
      <c r="BD78" s="6"/>
    </row>
    <row r="79" spans="1:56" ht="15.75" x14ac:dyDescent="0.25">
      <c r="A79" s="316"/>
      <c r="B79" s="301"/>
      <c r="C79" s="301"/>
      <c r="D79" s="319"/>
      <c r="E79" s="285"/>
      <c r="F79" s="285"/>
      <c r="G79" s="285"/>
      <c r="H79" s="285"/>
      <c r="I79" s="301"/>
      <c r="J79" s="303"/>
      <c r="K79" s="296"/>
      <c r="L79" s="299"/>
      <c r="M79" s="301"/>
      <c r="N79" s="309"/>
      <c r="O79" s="312"/>
      <c r="P79" s="314"/>
      <c r="Q79" s="296"/>
      <c r="R79" s="283"/>
      <c r="S79" s="296"/>
      <c r="T79" s="304"/>
      <c r="U79" s="297"/>
      <c r="V79" s="300"/>
      <c r="W79" s="297"/>
      <c r="X79" s="274"/>
      <c r="Y79" s="277"/>
      <c r="Z79" s="294"/>
      <c r="AA79" s="284"/>
      <c r="AB79" s="277"/>
      <c r="AC79" s="277"/>
      <c r="AD79" s="215" t="s">
        <v>198</v>
      </c>
      <c r="AE79" s="213" t="s">
        <v>199</v>
      </c>
      <c r="AF79" s="214">
        <v>72569427.540000007</v>
      </c>
      <c r="AG79" s="281"/>
      <c r="AH79" s="281"/>
      <c r="AI79" s="281"/>
      <c r="AJ79" s="149"/>
      <c r="AK79" s="65"/>
      <c r="AL79" s="150"/>
      <c r="AM79" s="151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283"/>
      <c r="AY79" s="153"/>
      <c r="AZ79" s="285"/>
      <c r="BA79" s="154"/>
      <c r="BB79" s="6"/>
      <c r="BC79" s="6"/>
      <c r="BD79" s="6"/>
    </row>
    <row r="80" spans="1:56" ht="15.75" x14ac:dyDescent="0.25">
      <c r="A80" s="317"/>
      <c r="B80" s="277"/>
      <c r="C80" s="277"/>
      <c r="D80" s="320"/>
      <c r="E80" s="274"/>
      <c r="F80" s="274"/>
      <c r="G80" s="274"/>
      <c r="H80" s="274"/>
      <c r="I80" s="277"/>
      <c r="J80" s="304"/>
      <c r="K80" s="297"/>
      <c r="L80" s="300"/>
      <c r="M80" s="277"/>
      <c r="N80" s="310"/>
      <c r="O80" s="312"/>
      <c r="P80" s="314"/>
      <c r="Q80" s="297"/>
      <c r="R80" s="284"/>
      <c r="S80" s="297"/>
      <c r="T80" s="216">
        <v>45517</v>
      </c>
      <c r="U80" s="157">
        <v>226</v>
      </c>
      <c r="V80" s="158"/>
      <c r="W80" s="157"/>
      <c r="X80" s="156"/>
      <c r="Y80" s="155"/>
      <c r="Z80" s="148"/>
      <c r="AA80" s="159"/>
      <c r="AB80" s="155"/>
      <c r="AC80" s="155"/>
      <c r="AD80" s="217" t="s">
        <v>200</v>
      </c>
      <c r="AE80" s="218" t="s">
        <v>201</v>
      </c>
      <c r="AF80" s="219">
        <v>2630628</v>
      </c>
      <c r="AG80" s="281"/>
      <c r="AH80" s="281"/>
      <c r="AI80" s="281"/>
      <c r="AJ80" s="149"/>
      <c r="AK80" s="65"/>
      <c r="AL80" s="150"/>
      <c r="AM80" s="151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283"/>
      <c r="AY80" s="153"/>
      <c r="AZ80" s="285"/>
      <c r="BA80" s="154"/>
      <c r="BB80" s="6"/>
      <c r="BC80" s="6"/>
      <c r="BD80" s="6"/>
    </row>
    <row r="81" spans="1:56" ht="30" x14ac:dyDescent="0.25">
      <c r="A81" s="220" t="s">
        <v>202</v>
      </c>
      <c r="B81" s="221"/>
      <c r="C81" s="221"/>
      <c r="D81" s="119"/>
      <c r="E81" s="119"/>
      <c r="F81" s="119"/>
      <c r="G81" s="119"/>
      <c r="H81" s="119"/>
      <c r="I81" s="221"/>
      <c r="J81" s="63"/>
      <c r="K81" s="83"/>
      <c r="L81" s="222"/>
      <c r="M81" s="221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48"/>
      <c r="Y81" s="221"/>
      <c r="Z81" s="119"/>
      <c r="AA81" s="119"/>
      <c r="AB81" s="221"/>
      <c r="AC81" s="119"/>
      <c r="AD81" s="156"/>
      <c r="AE81" s="156"/>
      <c r="AF81" s="156"/>
      <c r="AG81" s="281"/>
      <c r="AH81" s="281"/>
      <c r="AI81" s="281"/>
      <c r="AJ81" s="149"/>
      <c r="AK81" s="65"/>
      <c r="AL81" s="150"/>
      <c r="AM81" s="151"/>
      <c r="AN81" s="119"/>
      <c r="AO81" s="119"/>
      <c r="AP81" s="119"/>
      <c r="AQ81" s="119"/>
      <c r="AR81" s="119"/>
      <c r="AS81" s="119"/>
      <c r="AT81" s="119"/>
      <c r="AU81" s="119"/>
      <c r="AV81" s="119"/>
      <c r="AW81" s="119"/>
      <c r="AX81" s="284"/>
      <c r="AY81" s="153"/>
      <c r="AZ81" s="274"/>
      <c r="BA81" s="154"/>
      <c r="BB81" s="6"/>
      <c r="BC81" s="6"/>
      <c r="BD81" s="6"/>
    </row>
    <row r="82" spans="1:56" ht="45" x14ac:dyDescent="0.25">
      <c r="A82" s="82" t="s">
        <v>203</v>
      </c>
      <c r="B82" s="24"/>
      <c r="C82" s="24"/>
      <c r="D82" s="119"/>
      <c r="E82" s="119"/>
      <c r="F82" s="119"/>
      <c r="G82" s="119"/>
      <c r="H82" s="119"/>
      <c r="I82" s="24"/>
      <c r="J82" s="63"/>
      <c r="K82" s="83"/>
      <c r="L82" s="65"/>
      <c r="M82" s="24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24"/>
      <c r="Z82" s="119"/>
      <c r="AA82" s="119"/>
      <c r="AB82" s="24"/>
      <c r="AC82" s="119"/>
      <c r="AD82" s="119"/>
      <c r="AE82" s="119"/>
      <c r="AF82" s="119"/>
      <c r="AG82" s="24"/>
      <c r="AH82" s="24"/>
      <c r="AI82" s="142"/>
      <c r="AJ82" s="142"/>
      <c r="AK82" s="142"/>
      <c r="AL82" s="142"/>
      <c r="AM82" s="142"/>
      <c r="AN82" s="24"/>
      <c r="AO82" s="161"/>
      <c r="AP82" s="83"/>
      <c r="AQ82" s="150"/>
      <c r="AR82" s="24"/>
      <c r="AS82" s="119"/>
      <c r="AT82" s="119"/>
      <c r="AU82" s="119"/>
      <c r="AV82" s="119"/>
      <c r="AW82" s="119"/>
      <c r="AX82" s="24">
        <v>120000000</v>
      </c>
      <c r="AY82" s="119"/>
      <c r="AZ82" s="24">
        <v>120000000</v>
      </c>
      <c r="BA82" s="154"/>
      <c r="BB82" s="6"/>
      <c r="BC82" s="6"/>
      <c r="BD82" s="6"/>
    </row>
    <row r="83" spans="1:56" ht="60" x14ac:dyDescent="0.25">
      <c r="A83" s="220" t="s">
        <v>204</v>
      </c>
      <c r="B83" s="221"/>
      <c r="C83" s="221"/>
      <c r="D83" s="119"/>
      <c r="E83" s="119"/>
      <c r="F83" s="119"/>
      <c r="G83" s="119"/>
      <c r="H83" s="119"/>
      <c r="I83" s="221"/>
      <c r="J83" s="63"/>
      <c r="K83" s="83"/>
      <c r="L83" s="222"/>
      <c r="M83" s="221"/>
      <c r="N83" s="119"/>
      <c r="O83" s="119"/>
      <c r="P83" s="119"/>
      <c r="Q83" s="119"/>
      <c r="R83" s="119"/>
      <c r="S83" s="119"/>
      <c r="T83" s="273"/>
      <c r="U83" s="273"/>
      <c r="V83" s="273"/>
      <c r="W83" s="273"/>
      <c r="X83" s="147"/>
      <c r="Y83" s="276"/>
      <c r="Z83" s="273"/>
      <c r="AA83" s="273"/>
      <c r="AB83" s="275"/>
      <c r="AC83" s="279"/>
      <c r="AD83" s="162"/>
      <c r="AE83" s="162"/>
      <c r="AF83" s="162"/>
      <c r="AG83" s="275"/>
      <c r="AH83" s="275"/>
      <c r="AI83" s="275"/>
      <c r="AJ83" s="163"/>
      <c r="AK83" s="164"/>
      <c r="AL83" s="165"/>
      <c r="AM83" s="64"/>
      <c r="AN83" s="273"/>
      <c r="AO83" s="119"/>
      <c r="AP83" s="119"/>
      <c r="AQ83" s="119"/>
      <c r="AR83" s="119"/>
      <c r="AS83" s="119"/>
      <c r="AT83" s="119"/>
      <c r="AU83" s="119"/>
      <c r="AV83" s="119"/>
      <c r="AW83" s="119"/>
      <c r="AX83" s="275">
        <v>176323766.63</v>
      </c>
      <c r="AY83" s="64" t="s">
        <v>101</v>
      </c>
      <c r="AZ83" s="119"/>
      <c r="BA83" s="154"/>
      <c r="BB83" s="6"/>
      <c r="BC83" s="6"/>
      <c r="BD83" s="6"/>
    </row>
    <row r="84" spans="1:56" ht="45" x14ac:dyDescent="0.25">
      <c r="A84" s="223" t="s">
        <v>205</v>
      </c>
      <c r="B84" s="221"/>
      <c r="C84" s="221"/>
      <c r="D84" s="119"/>
      <c r="E84" s="119"/>
      <c r="F84" s="119"/>
      <c r="G84" s="119"/>
      <c r="H84" s="119"/>
      <c r="I84" s="221"/>
      <c r="J84" s="63"/>
      <c r="K84" s="83"/>
      <c r="L84" s="222"/>
      <c r="M84" s="221"/>
      <c r="N84" s="119"/>
      <c r="O84" s="119"/>
      <c r="P84" s="119"/>
      <c r="Q84" s="119"/>
      <c r="R84" s="119"/>
      <c r="S84" s="119"/>
      <c r="T84" s="274"/>
      <c r="U84" s="274"/>
      <c r="V84" s="274"/>
      <c r="W84" s="274"/>
      <c r="X84" s="156"/>
      <c r="Y84" s="277"/>
      <c r="Z84" s="274"/>
      <c r="AA84" s="274"/>
      <c r="AB84" s="278"/>
      <c r="AC84" s="280"/>
      <c r="AD84" s="166"/>
      <c r="AE84" s="166"/>
      <c r="AF84" s="166"/>
      <c r="AG84" s="272"/>
      <c r="AH84" s="272"/>
      <c r="AI84" s="272"/>
      <c r="AJ84" s="163"/>
      <c r="AK84" s="164"/>
      <c r="AL84" s="165"/>
      <c r="AM84" s="64"/>
      <c r="AN84" s="274"/>
      <c r="AO84" s="119"/>
      <c r="AP84" s="119"/>
      <c r="AQ84" s="119"/>
      <c r="AR84" s="119"/>
      <c r="AS84" s="119"/>
      <c r="AT84" s="119"/>
      <c r="AU84" s="119"/>
      <c r="AV84" s="119"/>
      <c r="AW84" s="119"/>
      <c r="AX84" s="272"/>
      <c r="AY84" s="64" t="s">
        <v>103</v>
      </c>
      <c r="AZ84" s="119"/>
      <c r="BA84" s="154"/>
      <c r="BB84" s="6"/>
      <c r="BC84" s="6"/>
      <c r="BD84" s="6"/>
    </row>
    <row r="85" spans="1:56" ht="45" x14ac:dyDescent="0.25">
      <c r="A85" s="160" t="s">
        <v>206</v>
      </c>
      <c r="B85" s="24"/>
      <c r="C85" s="24"/>
      <c r="D85" s="24"/>
      <c r="E85" s="63"/>
      <c r="F85" s="83"/>
      <c r="G85" s="65"/>
      <c r="H85" s="24"/>
      <c r="I85" s="24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24"/>
      <c r="Z85" s="24"/>
      <c r="AA85" s="119"/>
      <c r="AB85" s="142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54"/>
      <c r="BB85" s="6"/>
      <c r="BC85" s="6"/>
      <c r="BD85" s="6"/>
    </row>
    <row r="86" spans="1:56" ht="15.75" x14ac:dyDescent="0.25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spans="1:56" ht="15.75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spans="1:56" ht="15.7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</row>
    <row r="89" spans="1:56" ht="15.7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</row>
    <row r="90" spans="1:56" ht="15.7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</row>
    <row r="91" spans="1:56" ht="15.75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</row>
    <row r="92" spans="1:56" ht="15.7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</row>
    <row r="93" spans="1:56" ht="15.7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</row>
    <row r="94" spans="1:56" ht="15.7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</row>
    <row r="95" spans="1:56" ht="15.7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</row>
    <row r="96" spans="1:56" ht="15.7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</row>
    <row r="97" spans="1:56" ht="15.75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</row>
    <row r="98" spans="1:56" ht="15.75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</row>
    <row r="99" spans="1:56" ht="15.75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</row>
    <row r="100" spans="1:56" ht="15.7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</row>
    <row r="101" spans="1:56" ht="15.7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</row>
    <row r="102" spans="1:56" ht="15.7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</row>
    <row r="103" spans="1:56" ht="15.7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</row>
    <row r="104" spans="1:56" ht="15.7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</row>
    <row r="105" spans="1:56" ht="15.7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</row>
    <row r="106" spans="1:56" ht="15.7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</row>
    <row r="107" spans="1:56" ht="15.7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</row>
    <row r="108" spans="1:56" ht="15.7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</row>
    <row r="109" spans="1:56" ht="15.7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</row>
    <row r="110" spans="1:56" ht="15.7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</row>
    <row r="111" spans="1:56" ht="15.7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</row>
    <row r="112" spans="1:56" ht="15.7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</row>
    <row r="113" spans="1:56" ht="15.7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</row>
    <row r="114" spans="1:56" ht="15.7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</row>
    <row r="115" spans="1:56" ht="15.7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</row>
    <row r="116" spans="1:56" ht="15.7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</row>
    <row r="117" spans="1:56" ht="15.7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</row>
    <row r="118" spans="1:56" ht="15.7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</row>
    <row r="119" spans="1:56" ht="15.7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</row>
    <row r="120" spans="1:56" ht="15.7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</row>
    <row r="121" spans="1:56" ht="15.7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</row>
    <row r="122" spans="1:56" ht="15.7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</row>
    <row r="123" spans="1:56" ht="15.7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</row>
    <row r="124" spans="1:56" ht="15.7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</row>
    <row r="125" spans="1:56" ht="15.7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</row>
    <row r="126" spans="1:56" ht="15.7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</row>
    <row r="127" spans="1:56" ht="15.7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</row>
  </sheetData>
  <mergeCells count="194">
    <mergeCell ref="A4:A7"/>
    <mergeCell ref="B4:B7"/>
    <mergeCell ref="C4:R4"/>
    <mergeCell ref="S4:X5"/>
    <mergeCell ref="Y4:AB4"/>
    <mergeCell ref="AC4:AF4"/>
    <mergeCell ref="AG4:AG7"/>
    <mergeCell ref="AH4:AR4"/>
    <mergeCell ref="AS4:AW6"/>
    <mergeCell ref="AX4:AZ4"/>
    <mergeCell ref="BA4:BA7"/>
    <mergeCell ref="C5:C7"/>
    <mergeCell ref="D5:R5"/>
    <mergeCell ref="Y5:Y7"/>
    <mergeCell ref="Z5:AB6"/>
    <mergeCell ref="AC5:AC7"/>
    <mergeCell ref="AD5:AF5"/>
    <mergeCell ref="AH5:AH7"/>
    <mergeCell ref="AI5:AR5"/>
    <mergeCell ref="AX5:AX7"/>
    <mergeCell ref="AY5:AZ6"/>
    <mergeCell ref="D6:H6"/>
    <mergeCell ref="I6:M6"/>
    <mergeCell ref="N6:R6"/>
    <mergeCell ref="S6:X6"/>
    <mergeCell ref="AD6:AF6"/>
    <mergeCell ref="AI6:AM6"/>
    <mergeCell ref="AN6:AR6"/>
    <mergeCell ref="A10:A18"/>
    <mergeCell ref="B10:B18"/>
    <mergeCell ref="C10:C18"/>
    <mergeCell ref="D10:D18"/>
    <mergeCell ref="E10:E18"/>
    <mergeCell ref="F10:F18"/>
    <mergeCell ref="G10:G18"/>
    <mergeCell ref="H10:H18"/>
    <mergeCell ref="I10:I18"/>
    <mergeCell ref="J10:J18"/>
    <mergeCell ref="K10:K18"/>
    <mergeCell ref="L10:L18"/>
    <mergeCell ref="M10:M18"/>
    <mergeCell ref="N10:N18"/>
    <mergeCell ref="O10:O16"/>
    <mergeCell ref="P10:P16"/>
    <mergeCell ref="Q10:Q18"/>
    <mergeCell ref="R10:R16"/>
    <mergeCell ref="AB10:AB18"/>
    <mergeCell ref="AC10:AC16"/>
    <mergeCell ref="O17:O18"/>
    <mergeCell ref="P17:P18"/>
    <mergeCell ref="R17:R18"/>
    <mergeCell ref="T17:T18"/>
    <mergeCell ref="U17:U18"/>
    <mergeCell ref="V17:V18"/>
    <mergeCell ref="W17:W18"/>
    <mergeCell ref="AA17:AA18"/>
    <mergeCell ref="AC17:AC18"/>
    <mergeCell ref="S10:S18"/>
    <mergeCell ref="T10:T16"/>
    <mergeCell ref="U10:U16"/>
    <mergeCell ref="V10:V16"/>
    <mergeCell ref="W10:W16"/>
    <mergeCell ref="X10:X18"/>
    <mergeCell ref="Y10:Y18"/>
    <mergeCell ref="Z10:Z18"/>
    <mergeCell ref="AA10:AA16"/>
    <mergeCell ref="A19:A30"/>
    <mergeCell ref="B19:B30"/>
    <mergeCell ref="C19:C30"/>
    <mergeCell ref="D19:D30"/>
    <mergeCell ref="E19:E30"/>
    <mergeCell ref="F19:F30"/>
    <mergeCell ref="G19:G30"/>
    <mergeCell ref="H19:H30"/>
    <mergeCell ref="I19:I30"/>
    <mergeCell ref="J19:J30"/>
    <mergeCell ref="K19:K30"/>
    <mergeCell ref="L19:L30"/>
    <mergeCell ref="M19:M30"/>
    <mergeCell ref="N19:N30"/>
    <mergeCell ref="O19:O29"/>
    <mergeCell ref="P19:P29"/>
    <mergeCell ref="Q19:Q30"/>
    <mergeCell ref="R19:R29"/>
    <mergeCell ref="S19:S29"/>
    <mergeCell ref="T19:T29"/>
    <mergeCell ref="U19:U29"/>
    <mergeCell ref="V19:V29"/>
    <mergeCell ref="W19:W29"/>
    <mergeCell ref="X19:X29"/>
    <mergeCell ref="Y19:Y30"/>
    <mergeCell ref="Z19:Z29"/>
    <mergeCell ref="AA19:AA29"/>
    <mergeCell ref="AB19:AB29"/>
    <mergeCell ref="AC19:AC29"/>
    <mergeCell ref="A31:A56"/>
    <mergeCell ref="B31:B56"/>
    <mergeCell ref="C31:C56"/>
    <mergeCell ref="D31:D56"/>
    <mergeCell ref="E31:E56"/>
    <mergeCell ref="F31:F56"/>
    <mergeCell ref="G31:G56"/>
    <mergeCell ref="H31:H56"/>
    <mergeCell ref="I31:I56"/>
    <mergeCell ref="J31:J56"/>
    <mergeCell ref="K31:K56"/>
    <mergeCell ref="L31:L56"/>
    <mergeCell ref="M31:M56"/>
    <mergeCell ref="N31:N56"/>
    <mergeCell ref="O31:O46"/>
    <mergeCell ref="P31:P46"/>
    <mergeCell ref="Q31:Q56"/>
    <mergeCell ref="R31:R46"/>
    <mergeCell ref="S31:S56"/>
    <mergeCell ref="T31:T56"/>
    <mergeCell ref="U31:U56"/>
    <mergeCell ref="V31:V56"/>
    <mergeCell ref="W31:W46"/>
    <mergeCell ref="X31:X46"/>
    <mergeCell ref="Y31:Y56"/>
    <mergeCell ref="Z31:Z46"/>
    <mergeCell ref="AA31:AA46"/>
    <mergeCell ref="AB31:AB46"/>
    <mergeCell ref="AC31:AC46"/>
    <mergeCell ref="AG31:AG81"/>
    <mergeCell ref="AH31:AH81"/>
    <mergeCell ref="AI31:AI81"/>
    <mergeCell ref="AX31:AX81"/>
    <mergeCell ref="AZ31:AZ81"/>
    <mergeCell ref="O47:O56"/>
    <mergeCell ref="P47:P56"/>
    <mergeCell ref="R47:R56"/>
    <mergeCell ref="W47:W56"/>
    <mergeCell ref="X47:X56"/>
    <mergeCell ref="Z47:Z56"/>
    <mergeCell ref="AA47:AA56"/>
    <mergeCell ref="AB47:AB56"/>
    <mergeCell ref="AC47:AC56"/>
    <mergeCell ref="S57:S68"/>
    <mergeCell ref="T57:T68"/>
    <mergeCell ref="U57:U68"/>
    <mergeCell ref="V57:V68"/>
    <mergeCell ref="W57:W68"/>
    <mergeCell ref="X57:X68"/>
    <mergeCell ref="Y57:Y79"/>
    <mergeCell ref="Z57:Z68"/>
    <mergeCell ref="AA57:AA68"/>
    <mergeCell ref="AB57:AB68"/>
    <mergeCell ref="AC57:AC68"/>
    <mergeCell ref="S69:S80"/>
    <mergeCell ref="A57:A80"/>
    <mergeCell ref="B57:B80"/>
    <mergeCell ref="C57:C80"/>
    <mergeCell ref="D57:D80"/>
    <mergeCell ref="E57:E80"/>
    <mergeCell ref="F57:F80"/>
    <mergeCell ref="G57:G80"/>
    <mergeCell ref="H57:H80"/>
    <mergeCell ref="I57:I80"/>
    <mergeCell ref="J57:J80"/>
    <mergeCell ref="K57:K80"/>
    <mergeCell ref="L57:L80"/>
    <mergeCell ref="M57:M80"/>
    <mergeCell ref="N57:N80"/>
    <mergeCell ref="O57:O68"/>
    <mergeCell ref="P57:P68"/>
    <mergeCell ref="Q57:Q80"/>
    <mergeCell ref="R57:R68"/>
    <mergeCell ref="O69:O80"/>
    <mergeCell ref="P69:P80"/>
    <mergeCell ref="R69:R80"/>
    <mergeCell ref="T69:T79"/>
    <mergeCell ref="U69:U79"/>
    <mergeCell ref="V69:V79"/>
    <mergeCell ref="W69:W79"/>
    <mergeCell ref="X69:X79"/>
    <mergeCell ref="Z69:Z79"/>
    <mergeCell ref="AA69:AA79"/>
    <mergeCell ref="AB69:AB79"/>
    <mergeCell ref="AC69:AC79"/>
    <mergeCell ref="AG83:AG84"/>
    <mergeCell ref="AH83:AH84"/>
    <mergeCell ref="AI83:AI84"/>
    <mergeCell ref="AN83:AN84"/>
    <mergeCell ref="AX83:AX84"/>
    <mergeCell ref="T83:T84"/>
    <mergeCell ref="U83:U84"/>
    <mergeCell ref="V83:V84"/>
    <mergeCell ref="W83:W84"/>
    <mergeCell ref="Y83:Y84"/>
    <mergeCell ref="Z83:Z84"/>
    <mergeCell ref="AA83:AA84"/>
    <mergeCell ref="AB83:AB84"/>
    <mergeCell ref="AC83:AC84"/>
  </mergeCells>
  <pageMargins left="0.70078740157480324" right="0.70078740157480324" top="0.75196850393700787" bottom="0.7519685039370078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Раздел 1 (КИК)</vt:lpstr>
      <vt:lpstr>Раздел 2 (СКК)</vt:lpstr>
      <vt:lpstr>23</vt:lpstr>
      <vt:lpstr>ОКВ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ЕНВ</dc:creator>
  <cp:lastModifiedBy>Артур Алексеевич Гильмудинов</cp:lastModifiedBy>
  <cp:revision>13</cp:revision>
  <dcterms:created xsi:type="dcterms:W3CDTF">2025-08-10T20:21:41Z</dcterms:created>
  <dcterms:modified xsi:type="dcterms:W3CDTF">2026-04-23T05:04:26Z</dcterms:modified>
</cp:coreProperties>
</file>